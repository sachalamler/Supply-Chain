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cuments\"/>
    </mc:Choice>
  </mc:AlternateContent>
  <xr:revisionPtr revIDLastSave="0" documentId="8_{C2259834-1A84-4377-ACC1-58F9D1EDC6D2}" xr6:coauthVersionLast="47" xr6:coauthVersionMax="47" xr10:uidLastSave="{00000000-0000-0000-0000-000000000000}"/>
  <bookViews>
    <workbookView xWindow="-120" yWindow="-120" windowWidth="24240" windowHeight="13140" xr2:uid="{EC6871A4-88F3-4F66-8315-8ED8EE370A2E}"/>
  </bookViews>
  <sheets>
    <sheet name="Feuil1" sheetId="1" r:id="rId1"/>
  </sheets>
  <externalReferences>
    <externalReference r:id="rId2"/>
  </externalReferences>
  <definedNames>
    <definedName name="amount_ship_matl1">Feuil1!$269:$269</definedName>
    <definedName name="amount_ship_matl2">Feuil1!$280:$280</definedName>
    <definedName name="annualCost">Feuil1!$213:$213</definedName>
    <definedName name="area_need">Feuil1!$65:$65</definedName>
    <definedName name="area_penny">Feuil1!$64:$64</definedName>
    <definedName name="assumedSupplGM_matl1">Feuil1!$94:$94</definedName>
    <definedName name="assumedSupplGM_matl2">Feuil1!$123:$123</definedName>
    <definedName name="atManufacturingWarehouse">Feuil1!$215:$215</definedName>
    <definedName name="benefits">Feuil1!$141:$141</definedName>
    <definedName name="BTU_ton_matl1">Feuil1!$86:$86</definedName>
    <definedName name="buildingCostPerYear">Feuil1!$163:$163</definedName>
    <definedName name="carbon_tax_kg_matl1">Feuil1!#REF!</definedName>
    <definedName name="carbon_tax_matl1">Feuil1!$85:$85</definedName>
    <definedName name="carbon_tax_matl2">Feuil1!$115:$115</definedName>
    <definedName name="carbon_tax_per_tonCO2_matl1">Feuil1!$90:$90</definedName>
    <definedName name="carbon_tax_perTonCO2_matl2">Feuil1!$119:$119</definedName>
    <definedName name="clearingFees">Feuil1!$263:$263</definedName>
    <definedName name="cost_per_line">Feuil1!$400:$400</definedName>
    <definedName name="cost_ship_matl1">Feuil1!$272:$272</definedName>
    <definedName name="cost_ship_matl2">Feuil1!$283:$283</definedName>
    <definedName name="costDutyIsOn">Feuil1!$266:$266</definedName>
    <definedName name="costEACHpckgcons">[1]Feuil1!$63:$63</definedName>
    <definedName name="costEACHpckgdist">[1]Feuil1!$67:$67</definedName>
    <definedName name="costForAllLines">Feuil1!$164:$164</definedName>
    <definedName name="costOfRepair">Feuil1!$185:$185</definedName>
    <definedName name="costOfTruck">Feuil1!$241:$241</definedName>
    <definedName name="costPerLine">Feuil1!$145:$145</definedName>
    <definedName name="costPerMile">Feuil1!$235:$235</definedName>
    <definedName name="costPerPerson">Feuil1!$139:$139</definedName>
    <definedName name="costPerTire">Feuil1!$253:$253</definedName>
    <definedName name="costPerTRIP">[1]Feuil1!$87:$87</definedName>
    <definedName name="cred_matl1">Feuil1!$79:$79</definedName>
    <definedName name="cred_matl2">Feuil1!$108:$108</definedName>
    <definedName name="crews">Feuil1!$133:$133</definedName>
    <definedName name="cust_matl1">Feuil1!$70:$70</definedName>
    <definedName name="cust_matl2">Feuil1!$98:$98</definedName>
    <definedName name="custom_duties">Feuil1!$155:$155</definedName>
    <definedName name="customs_duties_matl1">Feuil1!$83:$83</definedName>
    <definedName name="customs_duties_matl2">Feuil1!$113:$113</definedName>
    <definedName name="days_ship_matl1">Feuil1!$277:$277</definedName>
    <definedName name="days_ship_matl2">Feuil1!$288:$288</definedName>
    <definedName name="daysIncrementalScrap">Feuil1!$382:$382</definedName>
    <definedName name="daysNeeded">Feuil1!$47:$47</definedName>
    <definedName name="daysOfCoverage">Feuil1!$364:$364</definedName>
    <definedName name="daysOfProductionWarehouse">Feuil1!$221:$221</definedName>
    <definedName name="depreciationLife">Feuil1!$242:$242</definedName>
    <definedName name="dev_cost">Feuil1!$346:$346</definedName>
    <definedName name="development">Feuil1!$44:$44</definedName>
    <definedName name="diameter">Feuil1!$60:$60</definedName>
    <definedName name="discrate">Feuil1!$330:$330</definedName>
    <definedName name="dollPerkWhr">Feuil1!$191:$191</definedName>
    <definedName name="dollPerLINEPerYEARfixed">[1]Feuil1!$76:$76</definedName>
    <definedName name="dollPerPENNYgmargin">Feuil1!$315:$315</definedName>
    <definedName name="dollPerPENNYlogi">[1]Feuil1!$85:$85</definedName>
    <definedName name="dollPerPENNYmanu">[1]Feuil1!$72:$72</definedName>
    <definedName name="dollPerPENNYmatcost">[1]Feuil1!$50:$50</definedName>
    <definedName name="dollPerPENNYmrktg">Feuil1!$301:$301</definedName>
    <definedName name="dollPerPENNYocgs">Feuil1!$291:$291</definedName>
    <definedName name="dollPerPENNYoverhead">Feuil1!$305:$305</definedName>
    <definedName name="dollPerPENNYprofit">Feuil1!$310:$310</definedName>
    <definedName name="dollPerPENNYtotal">Feuil1!$320:$320</definedName>
    <definedName name="dollPerPENNYtotalcogs">Feuil1!$296:$296</definedName>
    <definedName name="dollPerTONcu">[1]Feuil1!$55:$55</definedName>
    <definedName name="dollPerTONzn">[1]Feuil1!$59:$59</definedName>
    <definedName name="dollPerUNITvar">[1]Feuil1!$79:$79</definedName>
    <definedName name="dollPerYEARallLinesfixed">[1]Feuil1!$77:$77</definedName>
    <definedName name="dollPerYEARallLinesvar">[1]Feuil1!$81:$81</definedName>
    <definedName name="dollPerYEARgmargin">[1]Feuil1!$118:$118</definedName>
    <definedName name="dollPerYEARlogi">[1]Feuil1!$88:$88</definedName>
    <definedName name="dollPerYEARmanu">Feuil1!$127:$127</definedName>
    <definedName name="dollPerYEARmrktg">Feuil1!$302:$302</definedName>
    <definedName name="dollPerYEARocgs">[1]Feuil1!$94:$94</definedName>
    <definedName name="dollPerYEARogcs">Feuil1!$292:$292</definedName>
    <definedName name="dollPerYEARoverhead">Feuil1!$306:$306</definedName>
    <definedName name="dollPerYEARprofit">Feuil1!$311:$311</definedName>
    <definedName name="dollPerYEARtotal">Feuil1!$321:$321</definedName>
    <definedName name="dollPerYEARtotalcogs">Feuil1!$297:$297</definedName>
    <definedName name="dutiesPerCustoms">Feuil1!$264:$264</definedName>
    <definedName name="energy">Feuil1!$187:$187</definedName>
    <definedName name="engineering">Feuil1!$172:$172</definedName>
    <definedName name="equipCostPerYear">Feuil1!$144:$144</definedName>
    <definedName name="equipInvest">Feuil1!$405:$405</definedName>
    <definedName name="equipment_cost">Feuil1!$399:$399</definedName>
    <definedName name="equipTransportation">Feuil1!$240:$240</definedName>
    <definedName name="extra_parts">Feuil1!$157:$157</definedName>
    <definedName name="finance_accounting">Feuil1!$173:$173</definedName>
    <definedName name="fixed_ship_matl1">Feuil1!$275:$275</definedName>
    <definedName name="fixed_ship_matl2">Feuil1!$286:$286</definedName>
    <definedName name="fixedCostsTransportation">Feuil1!$237:$237</definedName>
    <definedName name="fixedmfg">Feuil1!$130:$130</definedName>
    <definedName name="frequencyOfRepairs">Feuil1!$184:$184</definedName>
    <definedName name="fuel">Feuil1!$248:$248</definedName>
    <definedName name="gmTransportation">Feuil1!$236:$236</definedName>
    <definedName name="gPerPENNY">[1]Feuil1!$54:$54</definedName>
    <definedName name="holidays">Feuil1!$43:$43</definedName>
    <definedName name="hourlyRate">Feuil1!$245:$245</definedName>
    <definedName name="hoursPerDay">Feuil1!$244:$244</definedName>
    <definedName name="hr_cost">Feuil1!$176:$176</definedName>
    <definedName name="init_inv">Feuil1!$363:$363</definedName>
    <definedName name="initCostOfLine">Feuil1!$146:$146</definedName>
    <definedName name="installation">Feuil1!$156:$156</definedName>
    <definedName name="insuranceCostPerDay">Feuil1!$246:$246</definedName>
    <definedName name="kg_ship_matl1">Feuil1!$270:$270</definedName>
    <definedName name="kg_ship_matl2">Feuil1!$281:$281</definedName>
    <definedName name="km_ship_matl1">Feuil1!$274:$274</definedName>
    <definedName name="km_ship_matl2">Feuil1!$285:$285</definedName>
    <definedName name="kWh_penny_matl1">Feuil1!$88:$88</definedName>
    <definedName name="kWh_penny_matl2">Feuil1!$117:$117</definedName>
    <definedName name="kWh_ton_matl1">Feuil1!$87:$87</definedName>
    <definedName name="kWh_ton_matl2">Feuil1!$116:$116</definedName>
    <definedName name="kWHr_kg">Feuil1!$190:$190</definedName>
    <definedName name="lastMile">Feuil1!$260:$260</definedName>
    <definedName name="lifeOfBuilding">Feuil1!$165:$165</definedName>
    <definedName name="lifeOfEquipment">Feuil1!$161:$161</definedName>
    <definedName name="loading_materials">Feuil1!$149:$149</definedName>
    <definedName name="loading_truck">Feuil1!$153:$153</definedName>
    <definedName name="LocalDCwarehouse">Feuil1!$224:$224</definedName>
    <definedName name="log_matl1">Feuil1!$78:$78</definedName>
    <definedName name="log_matl2">Feuil1!$107:$107</definedName>
    <definedName name="logisitcs_matl1">Feuil1!$268:$268</definedName>
    <definedName name="logistics">Feuil1!$196:$196</definedName>
    <definedName name="logistics_matl2">Feuil1!$279:$279</definedName>
    <definedName name="m_and_r">Feuil1!$182:$182</definedName>
    <definedName name="manufacturing">Feuil1!$126:$126</definedName>
    <definedName name="mass_CO2_pkWh_matl1">Feuil1!$89:$89</definedName>
    <definedName name="mass_CO2_pkWh_matl1_penny">Feuil1!#REF!</definedName>
    <definedName name="mass_CO2_pkWh_matl2">Feuil1!$118:$118</definedName>
    <definedName name="mass_matl1_in1penny">Feuil1!$71:$71</definedName>
    <definedName name="mass_matl2_in1penny">Feuil1!$99:$99</definedName>
    <definedName name="materials">Feuil1!$54:$54</definedName>
    <definedName name="maxCube">Feuil1!$229:$229</definedName>
    <definedName name="maxWeight">Feuil1!$232:$232</definedName>
    <definedName name="mCO2_kWh_matl1">Feuil1!#REF!</definedName>
    <definedName name="mfgToPort">Feuil1!$227:$227</definedName>
    <definedName name="mfgWarehouse">Feuil1!$212:$212</definedName>
    <definedName name="mileagePerTire">Feuil1!$255:$255</definedName>
    <definedName name="milesPerGallon">Feuil1!$250:$250</definedName>
    <definedName name="mmMaxStack">Feuil1!$219:$219</definedName>
    <definedName name="moneyPerTRIP">[1]Feuil1!$86:$86</definedName>
    <definedName name="MOQ_losses_matl1">Feuil1!$91:$91</definedName>
    <definedName name="MOQ_losses_matl2">Feuil1!$120:$120</definedName>
    <definedName name="nbMaxStack">Feuil1!$218:$218</definedName>
    <definedName name="nbOfDaysTransportation">Feuil1!$238:$238</definedName>
    <definedName name="nbOfKgs">Feuil1!$189:$189</definedName>
    <definedName name="nbOfKWHrs">Feuil1!$188:$188</definedName>
    <definedName name="nbOfMiles">Feuil1!$249:$249</definedName>
    <definedName name="nbOfProducts">Feuil1!$231:$231</definedName>
    <definedName name="nbOfProductsCube">Feuil1!$231:$231</definedName>
    <definedName name="nbOfProductsWeight">Feuil1!$233:$233</definedName>
    <definedName name="nbOfRepairsPerYear">Feuil1!$183:$183</definedName>
    <definedName name="nbOfStacksWarehouse">Feuil1!$217:$217</definedName>
    <definedName name="nbPennyEACHpckdist">[1]Feuil1!$68:$68</definedName>
    <definedName name="nbPennyEACHpckgcons">[1]Feuil1!$64:$64</definedName>
    <definedName name="nbYearsWarehouse">Feuil1!$214:$214</definedName>
    <definedName name="num_lines">Feuil1!$401:$401</definedName>
    <definedName name="num_year">Feuil1!$D:$D</definedName>
    <definedName name="numACCESS">Feuil1!$14:$14</definedName>
    <definedName name="numAFFORD">Feuil1!$8:$8</definedName>
    <definedName name="numALL">Feuil1!$2:$2</definedName>
    <definedName name="numAWARE">Feuil1!$11:$11</definedName>
    <definedName name="numberOfTires">Feuil1!$254:$254</definedName>
    <definedName name="numCoins">Feuil1!$365:$365</definedName>
    <definedName name="numLINES">Feuil1!$26:$26</definedName>
    <definedName name="numNEED">Feuil1!$5:$5</definedName>
    <definedName name="numPerCrew">Feuil1!$135:$135</definedName>
    <definedName name="numPerLINE">Feuil1!$28:$28</definedName>
    <definedName name="numREPEAT">Feuil1!$20:$20</definedName>
    <definedName name="numTests">Feuil1!$347:$347</definedName>
    <definedName name="numTRY">Feuil1!$17:$17</definedName>
    <definedName name="numYear">Feuil1!$D:$D</definedName>
    <definedName name="offline">Feuil1!$137:$137</definedName>
    <definedName name="ohPerLinePerYear">Feuil1!$167:$167</definedName>
    <definedName name="ohPerYear">Feuil1!$169:$169</definedName>
    <definedName name="online">Feuil1!$136:$136</definedName>
    <definedName name="option_name">Feuil1!$50:$50</definedName>
    <definedName name="other_matl1">Feuil1!$82:$82</definedName>
    <definedName name="other_matl2">Feuil1!$112:$112</definedName>
    <definedName name="otherFees">Feuil1!$262:$262</definedName>
    <definedName name="otherMaintenancePerMile">Feuil1!$256:$256</definedName>
    <definedName name="p_add_process">Feuil1!$67:$67</definedName>
    <definedName name="p_paid_usmint">Feuil1!$66:$66</definedName>
    <definedName name="p_Recycle_Credits">Feuil1!$80:$80</definedName>
    <definedName name="p_scrap_matl1">Feuil1!$77:$77</definedName>
    <definedName name="p_scrap_matl2">Feuil1!$105:$105</definedName>
    <definedName name="pACCESS">Feuil1!$13:$13</definedName>
    <definedName name="packaging_consumer">Feuil1!$151:$151</definedName>
    <definedName name="packaging_distribution">Feuil1!$152:$152</definedName>
    <definedName name="pAFFORD">Feuil1!$7:$7</definedName>
    <definedName name="pAWARE">Feuil1!$10:$10</definedName>
    <definedName name="pckgHeight">Feuil1!$207:$207</definedName>
    <definedName name="pckgLength">Feuil1!$205:$205</definedName>
    <definedName name="pckgMass">Feuil1!$208:$208</definedName>
    <definedName name="pckgPerCase">Feuil1!$204:$204</definedName>
    <definedName name="pckgWeight">Feuil1!$209:$209</definedName>
    <definedName name="pckgWidth">Feuil1!$206:$206</definedName>
    <definedName name="pCu">[1]Feuil1!$56:$56</definedName>
    <definedName name="percentageFill">Feuil1!$230:$230</definedName>
    <definedName name="percentDuty">Feuil1!$265:$265</definedName>
    <definedName name="percentTotalWeight1">Feuil1!$72:$72</definedName>
    <definedName name="percentTotalWeight2">Feuil1!$100:$100</definedName>
    <definedName name="plannedDowntime">Feuil1!$38:$38</definedName>
    <definedName name="plant_manager">Feuil1!$170:$170</definedName>
    <definedName name="pNEED">Feuil1!$4:$4</definedName>
    <definedName name="portToPort">Feuil1!$257:$257</definedName>
    <definedName name="portToRegDC">Feuil1!$258:$258</definedName>
    <definedName name="pREPEAT">Feuil1!$19:$19</definedName>
    <definedName name="preRiskCost">Feuil1!$159:$159</definedName>
    <definedName name="price.mm2Warehouse">Feuil1!$222:$222</definedName>
    <definedName name="priceCuPerPENNY">[1]Feuil1!$57:$57</definedName>
    <definedName name="pricePerGallon">Feuil1!$251:$251</definedName>
    <definedName name="pricePerKgMatl1">Feuil1!$73:$73</definedName>
    <definedName name="pricePerKgMatl2">Feuil1!$101:$101</definedName>
    <definedName name="pricePerPENNYin1pckgCons">[1]Feuil1!$65:$65</definedName>
    <definedName name="pricePerPENNYin1pckgDist">[1]Feuil1!$69:$69</definedName>
    <definedName name="pricePerPennyInventory">Feuil1!$366:$366</definedName>
    <definedName name="pricePerPennyScrap">Feuil1!$384:$384</definedName>
    <definedName name="pricePerTESTS">Feuil1!$348:$348</definedName>
    <definedName name="priceZnPerPENNY">[1]Feuil1!$61:$61</definedName>
    <definedName name="proc_matl1">Feuil1!$75:$75</definedName>
    <definedName name="proc_matl2">Feuil1!$103:$103</definedName>
    <definedName name="prodDiameter">Feuil1!$201:$201</definedName>
    <definedName name="prodPerPckg">Feuil1!$203:$203</definedName>
    <definedName name="prodThickness">Feuil1!$202:$202</definedName>
    <definedName name="pTRY">Feuil1!$16:$16</definedName>
    <definedName name="purchasing">Feuil1!$171:$171</definedName>
    <definedName name="pZn">[1]Feuil1!$60:$60</definedName>
    <definedName name="qa">Feuil1!$138:$138</definedName>
    <definedName name="qa_cost">Feuil1!$175:$175</definedName>
    <definedName name="qtyOfProdsWarehouse">Feuil1!$220:$220</definedName>
    <definedName name="qtyOnShipment">Feuil1!$228:$228</definedName>
    <definedName name="rate">Feuil1!$33:$33</definedName>
    <definedName name="rate1">Feuil1!$34:$34</definedName>
    <definedName name="rate2">Feuil1!$35:$35</definedName>
    <definedName name="receiving_materials">Feuil1!$147:$147</definedName>
    <definedName name="regDCtoLocDC">Feuil1!$259:$259</definedName>
    <definedName name="RegionalDCwarehouse">Feuil1!$223:$223</definedName>
    <definedName name="rel_matl1">Feuil1!$76:$76</definedName>
    <definedName name="rel_matl2">Feuil1!$104:$104</definedName>
    <definedName name="reliability">Feuil1!$37:$37</definedName>
    <definedName name="RevLife">Feuil1!$418:$418</definedName>
    <definedName name="risk">Feuil1!$158:$158</definedName>
    <definedName name="riskPercent">Feuil1!$160:$160</definedName>
    <definedName name="safety">Feuil1!$174:$174</definedName>
    <definedName name="sales_vat_matl1">Feuil1!$84:$84</definedName>
    <definedName name="sales_vat_matl2">Feuil1!$114:$114</definedName>
    <definedName name="scrap">Feuil1!$40:$40</definedName>
    <definedName name="shipping">Feuil1!$154:$154</definedName>
    <definedName name="spaceWarehouse">Feuil1!$216:$216</definedName>
    <definedName name="speed_ship_matl1">Feuil1!$276:$276</definedName>
    <definedName name="speed_ship_matl2">Feuil1!$287:$287</definedName>
    <definedName name="staffing">Feuil1!$132:$132</definedName>
    <definedName name="staffingTransportation">Feuil1!$243:$243</definedName>
    <definedName name="startup">Feuil1!$381:$381</definedName>
    <definedName name="storage_racks">Feuil1!$148:$148</definedName>
    <definedName name="supplies">Feuil1!$193:$193</definedName>
    <definedName name="supPrice_matl1">Feuil1!$93:$93</definedName>
    <definedName name="supPrice_matl2">Feuil1!$122:$122</definedName>
    <definedName name="taxLife">Feuil1!$402:$402</definedName>
    <definedName name="taxrate">Feuil1!$329:$329</definedName>
    <definedName name="thruputWhenScheduled">Feuil1!$31:$31</definedName>
    <definedName name="tires">Feuil1!$252:$252</definedName>
    <definedName name="total_matl1">Feuil1!$69:$69</definedName>
    <definedName name="total_matl2">Feuil1!$97:$97</definedName>
    <definedName name="total_wt_matl1_w_scrap">Feuil1!$271:$271</definedName>
    <definedName name="total_wt_matl2_w_scrap">Feuil1!$282:$282</definedName>
    <definedName name="totalCostOfTrip">Feuil1!$234:$234</definedName>
    <definedName name="totalDeprPerLineYear">Feuil1!$143:$143</definedName>
    <definedName name="totalIncrementScrap">Feuil1!$383:$383</definedName>
    <definedName name="totalTHRUPUT">Feuil1!$27:$27</definedName>
    <definedName name="totalVOL">Feuil1!$23:$23</definedName>
    <definedName name="totalWeight">Feuil1!$58:$58</definedName>
    <definedName name="transportation">Feuil1!$226:$226</definedName>
    <definedName name="trim_a">Feuil1!$61:$61</definedName>
    <definedName name="trim_b">Feuil1!$62:$62</definedName>
    <definedName name="trim_c">Feuil1!$63:$63</definedName>
    <definedName name="unplannedDowntime">Feuil1!$39:$39</definedName>
    <definedName name="unstaffedDays">Feuil1!$45:$45</definedName>
    <definedName name="unusedDays">Feuil1!$46:$46</definedName>
    <definedName name="value_add">Feuil1!$150:$150</definedName>
    <definedName name="variable_ship_matl1">Feuil1!$273:$273</definedName>
    <definedName name="variable_ship_matl2">Feuil1!$284:$284</definedName>
    <definedName name="variableCostsTransportation">Feuil1!$247:$247</definedName>
    <definedName name="variablemfg">Feuil1!$178:$178</definedName>
    <definedName name="volREPEAT">Feuil1!$21:$21</definedName>
    <definedName name="volume">Feuil1!$52:$52</definedName>
    <definedName name="wages">Feuil1!$140:$140</definedName>
    <definedName name="warehouse">Feuil1!$211:$211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1" i="1" l="1"/>
  <c r="T343" i="1" s="1"/>
  <c r="T430" i="1"/>
  <c r="T342" i="1" s="1"/>
  <c r="T429" i="1"/>
  <c r="T341" i="1" s="1"/>
  <c r="T428" i="1"/>
  <c r="T427" i="1"/>
  <c r="T426" i="1"/>
  <c r="T425" i="1"/>
  <c r="T415" i="1"/>
  <c r="T414" i="1"/>
  <c r="T413" i="1"/>
  <c r="T365" i="1"/>
  <c r="T364" i="1"/>
  <c r="T346" i="1"/>
  <c r="T351" i="1" s="1"/>
  <c r="T306" i="1"/>
  <c r="T302" i="1"/>
  <c r="T292" i="1"/>
  <c r="T288" i="1"/>
  <c r="T283" i="1"/>
  <c r="T277" i="1"/>
  <c r="T272" i="1"/>
  <c r="T252" i="1"/>
  <c r="T248" i="1"/>
  <c r="T247" i="1" s="1"/>
  <c r="T243" i="1"/>
  <c r="T240" i="1"/>
  <c r="T237" i="1" s="1"/>
  <c r="T234" i="1" s="1"/>
  <c r="T220" i="1"/>
  <c r="T208" i="1"/>
  <c r="T209" i="1" s="1"/>
  <c r="T207" i="1"/>
  <c r="T218" i="1" s="1"/>
  <c r="T217" i="1" s="1"/>
  <c r="T206" i="1"/>
  <c r="T205" i="1"/>
  <c r="T169" i="1"/>
  <c r="T167" i="1"/>
  <c r="T163" i="1"/>
  <c r="T159" i="1"/>
  <c r="T158" i="1" s="1"/>
  <c r="T145" i="1" s="1"/>
  <c r="T146" i="1"/>
  <c r="T140" i="1"/>
  <c r="T139" i="1" s="1"/>
  <c r="T135" i="1"/>
  <c r="T105" i="1"/>
  <c r="T100" i="1"/>
  <c r="T99" i="1" s="1"/>
  <c r="T117" i="1" s="1"/>
  <c r="T115" i="1" s="1"/>
  <c r="T112" i="1" s="1"/>
  <c r="T87" i="1"/>
  <c r="T71" i="1"/>
  <c r="T70" i="1"/>
  <c r="T65" i="1"/>
  <c r="T67" i="1" s="1"/>
  <c r="T64" i="1"/>
  <c r="T37" i="1"/>
  <c r="T31" i="1" s="1"/>
  <c r="T33" i="1"/>
  <c r="T5" i="1"/>
  <c r="T8" i="1" s="1"/>
  <c r="T11" i="1" s="1"/>
  <c r="T14" i="1" s="1"/>
  <c r="T17" i="1" s="1"/>
  <c r="S431" i="1"/>
  <c r="S430" i="1"/>
  <c r="S429" i="1"/>
  <c r="S428" i="1"/>
  <c r="S427" i="1"/>
  <c r="S426" i="1"/>
  <c r="S425" i="1"/>
  <c r="S415" i="1"/>
  <c r="S414" i="1"/>
  <c r="S342" i="1" s="1"/>
  <c r="S413" i="1"/>
  <c r="S365" i="1"/>
  <c r="S364" i="1"/>
  <c r="S351" i="1"/>
  <c r="S350" i="1"/>
  <c r="S346" i="1"/>
  <c r="S341" i="1"/>
  <c r="S306" i="1"/>
  <c r="S302" i="1"/>
  <c r="S292" i="1"/>
  <c r="S288" i="1"/>
  <c r="S283" i="1" s="1"/>
  <c r="S277" i="1"/>
  <c r="S272" i="1"/>
  <c r="S252" i="1"/>
  <c r="S248" i="1"/>
  <c r="S247" i="1" s="1"/>
  <c r="S243" i="1"/>
  <c r="S237" i="1" s="1"/>
  <c r="S234" i="1" s="1"/>
  <c r="S240" i="1"/>
  <c r="S233" i="1"/>
  <c r="S220" i="1"/>
  <c r="S209" i="1"/>
  <c r="S208" i="1"/>
  <c r="S207" i="1"/>
  <c r="S218" i="1" s="1"/>
  <c r="S217" i="1" s="1"/>
  <c r="S206" i="1"/>
  <c r="S205" i="1"/>
  <c r="S169" i="1"/>
  <c r="S167" i="1"/>
  <c r="S163" i="1"/>
  <c r="S159" i="1"/>
  <c r="S158" i="1"/>
  <c r="S146" i="1"/>
  <c r="S145" i="1" s="1"/>
  <c r="S144" i="1" s="1"/>
  <c r="S143" i="1" s="1"/>
  <c r="S140" i="1"/>
  <c r="S139" i="1"/>
  <c r="S135" i="1"/>
  <c r="S117" i="1"/>
  <c r="S115" i="1" s="1"/>
  <c r="S112" i="1" s="1"/>
  <c r="S105" i="1"/>
  <c r="S100" i="1"/>
  <c r="S99" i="1"/>
  <c r="S98" i="1"/>
  <c r="S87" i="1"/>
  <c r="S88" i="1" s="1"/>
  <c r="S85" i="1" s="1"/>
  <c r="S82" i="1" s="1"/>
  <c r="S71" i="1"/>
  <c r="S70" i="1"/>
  <c r="S65" i="1"/>
  <c r="S67" i="1" s="1"/>
  <c r="S64" i="1"/>
  <c r="S37" i="1"/>
  <c r="S33" i="1"/>
  <c r="S31" i="1" s="1"/>
  <c r="S8" i="1"/>
  <c r="S11" i="1" s="1"/>
  <c r="S14" i="1" s="1"/>
  <c r="S17" i="1" s="1"/>
  <c r="S5" i="1"/>
  <c r="K205" i="1"/>
  <c r="K206" i="1"/>
  <c r="K207" i="1"/>
  <c r="R431" i="1"/>
  <c r="R430" i="1"/>
  <c r="R429" i="1"/>
  <c r="R428" i="1"/>
  <c r="R427" i="1"/>
  <c r="R426" i="1"/>
  <c r="R425" i="1"/>
  <c r="R415" i="1"/>
  <c r="R414" i="1"/>
  <c r="R413" i="1"/>
  <c r="R365" i="1"/>
  <c r="R364" i="1"/>
  <c r="R346" i="1"/>
  <c r="R351" i="1" s="1"/>
  <c r="R306" i="1"/>
  <c r="R302" i="1"/>
  <c r="R292" i="1"/>
  <c r="R288" i="1"/>
  <c r="R283" i="1"/>
  <c r="R277" i="1"/>
  <c r="R272" i="1"/>
  <c r="R252" i="1"/>
  <c r="R248" i="1"/>
  <c r="R247" i="1" s="1"/>
  <c r="R243" i="1"/>
  <c r="R240" i="1"/>
  <c r="R237" i="1" s="1"/>
  <c r="R234" i="1" s="1"/>
  <c r="R220" i="1"/>
  <c r="R208" i="1"/>
  <c r="R209" i="1" s="1"/>
  <c r="R207" i="1"/>
  <c r="R218" i="1" s="1"/>
  <c r="R217" i="1" s="1"/>
  <c r="R206" i="1"/>
  <c r="R205" i="1"/>
  <c r="R216" i="1" s="1"/>
  <c r="R215" i="1" s="1"/>
  <c r="R213" i="1" s="1"/>
  <c r="R212" i="1" s="1"/>
  <c r="R211" i="1" s="1"/>
  <c r="R182" i="1"/>
  <c r="R169" i="1"/>
  <c r="R167" i="1" s="1"/>
  <c r="R163" i="1"/>
  <c r="R159" i="1"/>
  <c r="R158" i="1"/>
  <c r="R146" i="1"/>
  <c r="R145" i="1" s="1"/>
  <c r="R140" i="1"/>
  <c r="R139" i="1"/>
  <c r="R135" i="1"/>
  <c r="R117" i="1"/>
  <c r="R115" i="1" s="1"/>
  <c r="R112" i="1" s="1"/>
  <c r="R105" i="1"/>
  <c r="R100" i="1"/>
  <c r="R99" i="1"/>
  <c r="R98" i="1"/>
  <c r="R87" i="1"/>
  <c r="R88" i="1" s="1"/>
  <c r="R85" i="1" s="1"/>
  <c r="R82" i="1" s="1"/>
  <c r="R71" i="1"/>
  <c r="R70" i="1"/>
  <c r="R65" i="1"/>
  <c r="R67" i="1" s="1"/>
  <c r="R64" i="1"/>
  <c r="R37" i="1"/>
  <c r="R33" i="1"/>
  <c r="R31" i="1" s="1"/>
  <c r="R5" i="1"/>
  <c r="R8" i="1" s="1"/>
  <c r="R11" i="1" s="1"/>
  <c r="R14" i="1" s="1"/>
  <c r="R17" i="1" s="1"/>
  <c r="Q221" i="1"/>
  <c r="Q431" i="1"/>
  <c r="Q430" i="1"/>
  <c r="Q429" i="1"/>
  <c r="Q428" i="1"/>
  <c r="Q427" i="1"/>
  <c r="Q426" i="1"/>
  <c r="Q425" i="1"/>
  <c r="Q415" i="1"/>
  <c r="Q414" i="1"/>
  <c r="Q342" i="1" s="1"/>
  <c r="Q413" i="1"/>
  <c r="Q365" i="1"/>
  <c r="Q364" i="1"/>
  <c r="Q346" i="1"/>
  <c r="Q351" i="1" s="1"/>
  <c r="Q306" i="1"/>
  <c r="Q302" i="1"/>
  <c r="Q292" i="1"/>
  <c r="Q288" i="1"/>
  <c r="Q283" i="1"/>
  <c r="Q277" i="1"/>
  <c r="Q272" i="1"/>
  <c r="Q252" i="1"/>
  <c r="Q248" i="1"/>
  <c r="Q247" i="1"/>
  <c r="Q243" i="1"/>
  <c r="Q240" i="1"/>
  <c r="Q237" i="1" s="1"/>
  <c r="Q234" i="1" s="1"/>
  <c r="Q220" i="1"/>
  <c r="Q209" i="1"/>
  <c r="Q208" i="1"/>
  <c r="Q233" i="1" s="1"/>
  <c r="Q207" i="1"/>
  <c r="Q218" i="1" s="1"/>
  <c r="Q206" i="1"/>
  <c r="Q205" i="1"/>
  <c r="Q231" i="1" s="1"/>
  <c r="Q182" i="1"/>
  <c r="Q169" i="1"/>
  <c r="Q167" i="1" s="1"/>
  <c r="Q163" i="1"/>
  <c r="Q146" i="1"/>
  <c r="Q159" i="1" s="1"/>
  <c r="Q158" i="1" s="1"/>
  <c r="Q140" i="1"/>
  <c r="Q139" i="1"/>
  <c r="Q135" i="1"/>
  <c r="Q105" i="1"/>
  <c r="Q100" i="1"/>
  <c r="Q99" i="1" s="1"/>
  <c r="Q117" i="1" s="1"/>
  <c r="Q115" i="1" s="1"/>
  <c r="Q112" i="1" s="1"/>
  <c r="Q98" i="1"/>
  <c r="Q87" i="1"/>
  <c r="Q88" i="1" s="1"/>
  <c r="Q85" i="1" s="1"/>
  <c r="Q82" i="1" s="1"/>
  <c r="Q71" i="1"/>
  <c r="Q70" i="1"/>
  <c r="Q65" i="1"/>
  <c r="Q64" i="1"/>
  <c r="Q37" i="1"/>
  <c r="Q33" i="1"/>
  <c r="Q31" i="1"/>
  <c r="Q5" i="1"/>
  <c r="Q8" i="1" s="1"/>
  <c r="Q11" i="1" s="1"/>
  <c r="Q14" i="1" s="1"/>
  <c r="Q17" i="1" s="1"/>
  <c r="P431" i="1"/>
  <c r="P430" i="1"/>
  <c r="P429" i="1"/>
  <c r="P428" i="1"/>
  <c r="P427" i="1"/>
  <c r="P426" i="1"/>
  <c r="P425" i="1"/>
  <c r="P415" i="1"/>
  <c r="P414" i="1"/>
  <c r="P413" i="1"/>
  <c r="P365" i="1"/>
  <c r="P364" i="1"/>
  <c r="P346" i="1"/>
  <c r="P351" i="1" s="1"/>
  <c r="P306" i="1"/>
  <c r="P302" i="1"/>
  <c r="P292" i="1"/>
  <c r="P288" i="1"/>
  <c r="P283" i="1"/>
  <c r="P277" i="1"/>
  <c r="P272" i="1"/>
  <c r="P252" i="1"/>
  <c r="P248" i="1"/>
  <c r="P247" i="1" s="1"/>
  <c r="P243" i="1"/>
  <c r="P240" i="1"/>
  <c r="P237" i="1" s="1"/>
  <c r="P234" i="1" s="1"/>
  <c r="P220" i="1"/>
  <c r="P208" i="1"/>
  <c r="P209" i="1" s="1"/>
  <c r="P207" i="1"/>
  <c r="P218" i="1" s="1"/>
  <c r="P217" i="1" s="1"/>
  <c r="P206" i="1"/>
  <c r="P205" i="1"/>
  <c r="P216" i="1" s="1"/>
  <c r="P215" i="1" s="1"/>
  <c r="P213" i="1" s="1"/>
  <c r="P212" i="1" s="1"/>
  <c r="P211" i="1" s="1"/>
  <c r="P182" i="1"/>
  <c r="P169" i="1"/>
  <c r="P167" i="1" s="1"/>
  <c r="P163" i="1"/>
  <c r="P143" i="1" s="1"/>
  <c r="P146" i="1"/>
  <c r="P159" i="1" s="1"/>
  <c r="P158" i="1" s="1"/>
  <c r="P140" i="1"/>
  <c r="P139" i="1"/>
  <c r="P135" i="1"/>
  <c r="P105" i="1"/>
  <c r="P100" i="1"/>
  <c r="P99" i="1" s="1"/>
  <c r="P117" i="1" s="1"/>
  <c r="P115" i="1" s="1"/>
  <c r="P112" i="1" s="1"/>
  <c r="P87" i="1"/>
  <c r="P71" i="1"/>
  <c r="P70" i="1"/>
  <c r="P65" i="1"/>
  <c r="P64" i="1"/>
  <c r="P37" i="1"/>
  <c r="P31" i="1" s="1"/>
  <c r="P33" i="1"/>
  <c r="P5" i="1"/>
  <c r="P8" i="1" s="1"/>
  <c r="P11" i="1" s="1"/>
  <c r="P14" i="1" s="1"/>
  <c r="P17" i="1" s="1"/>
  <c r="K365" i="1"/>
  <c r="K220" i="1"/>
  <c r="K243" i="1"/>
  <c r="K248" i="1"/>
  <c r="K252" i="1"/>
  <c r="K240" i="1"/>
  <c r="K208" i="1"/>
  <c r="K209" i="1" s="1"/>
  <c r="K306" i="1"/>
  <c r="K302" i="1"/>
  <c r="K292" i="1"/>
  <c r="O431" i="1"/>
  <c r="O430" i="1"/>
  <c r="O429" i="1"/>
  <c r="O428" i="1"/>
  <c r="O427" i="1"/>
  <c r="O426" i="1"/>
  <c r="O425" i="1"/>
  <c r="O415" i="1"/>
  <c r="O414" i="1"/>
  <c r="O413" i="1"/>
  <c r="O364" i="1"/>
  <c r="O346" i="1"/>
  <c r="O351" i="1" s="1"/>
  <c r="O288" i="1"/>
  <c r="O283" i="1" s="1"/>
  <c r="O277" i="1"/>
  <c r="O272" i="1" s="1"/>
  <c r="O182" i="1"/>
  <c r="O169" i="1"/>
  <c r="O167" i="1" s="1"/>
  <c r="O163" i="1"/>
  <c r="O143" i="1" s="1"/>
  <c r="O146" i="1"/>
  <c r="O159" i="1" s="1"/>
  <c r="O158" i="1" s="1"/>
  <c r="O145" i="1" s="1"/>
  <c r="O140" i="1"/>
  <c r="O139" i="1" s="1"/>
  <c r="O135" i="1"/>
  <c r="O105" i="1"/>
  <c r="O100" i="1"/>
  <c r="O99" i="1" s="1"/>
  <c r="O117" i="1" s="1"/>
  <c r="O115" i="1" s="1"/>
  <c r="O112" i="1" s="1"/>
  <c r="O87" i="1"/>
  <c r="O71" i="1"/>
  <c r="O70" i="1"/>
  <c r="O65" i="1"/>
  <c r="O64" i="1"/>
  <c r="O37" i="1"/>
  <c r="O33" i="1"/>
  <c r="O5" i="1"/>
  <c r="O8" i="1" s="1"/>
  <c r="O11" i="1" s="1"/>
  <c r="O14" i="1" s="1"/>
  <c r="O17" i="1" s="1"/>
  <c r="N431" i="1"/>
  <c r="N430" i="1"/>
  <c r="N429" i="1"/>
  <c r="N428" i="1"/>
  <c r="N427" i="1"/>
  <c r="N426" i="1"/>
  <c r="N425" i="1"/>
  <c r="N415" i="1"/>
  <c r="N414" i="1"/>
  <c r="N413" i="1"/>
  <c r="N364" i="1"/>
  <c r="N346" i="1"/>
  <c r="N351" i="1" s="1"/>
  <c r="N288" i="1"/>
  <c r="N283" i="1" s="1"/>
  <c r="N277" i="1"/>
  <c r="N272" i="1" s="1"/>
  <c r="N182" i="1"/>
  <c r="N169" i="1"/>
  <c r="N167" i="1" s="1"/>
  <c r="N163" i="1"/>
  <c r="N146" i="1"/>
  <c r="N140" i="1"/>
  <c r="N139" i="1" s="1"/>
  <c r="N135" i="1"/>
  <c r="N105" i="1"/>
  <c r="N100" i="1"/>
  <c r="N87" i="1"/>
  <c r="N71" i="1"/>
  <c r="N70" i="1"/>
  <c r="N65" i="1"/>
  <c r="N64" i="1"/>
  <c r="N37" i="1"/>
  <c r="N33" i="1"/>
  <c r="N5" i="1"/>
  <c r="N8" i="1" s="1"/>
  <c r="N11" i="1" s="1"/>
  <c r="N14" i="1" s="1"/>
  <c r="N17" i="1" s="1"/>
  <c r="K146" i="1"/>
  <c r="K425" i="1"/>
  <c r="K426" i="1"/>
  <c r="K427" i="1"/>
  <c r="K428" i="1"/>
  <c r="K429" i="1"/>
  <c r="K430" i="1"/>
  <c r="K431" i="1"/>
  <c r="M431" i="1"/>
  <c r="M430" i="1"/>
  <c r="M429" i="1"/>
  <c r="M428" i="1"/>
  <c r="M427" i="1"/>
  <c r="M426" i="1"/>
  <c r="M425" i="1"/>
  <c r="M422" i="1"/>
  <c r="M415" i="1"/>
  <c r="M414" i="1"/>
  <c r="M413" i="1"/>
  <c r="M364" i="1"/>
  <c r="M346" i="1"/>
  <c r="M351" i="1" s="1"/>
  <c r="M288" i="1"/>
  <c r="M283" i="1" s="1"/>
  <c r="M277" i="1"/>
  <c r="M272" i="1" s="1"/>
  <c r="M182" i="1"/>
  <c r="M169" i="1"/>
  <c r="M167" i="1" s="1"/>
  <c r="M163" i="1"/>
  <c r="M146" i="1"/>
  <c r="M140" i="1"/>
  <c r="M139" i="1" s="1"/>
  <c r="M135" i="1"/>
  <c r="M105" i="1"/>
  <c r="M100" i="1"/>
  <c r="M98" i="1" s="1"/>
  <c r="M87" i="1"/>
  <c r="M71" i="1"/>
  <c r="M70" i="1"/>
  <c r="M65" i="1"/>
  <c r="M64" i="1"/>
  <c r="M37" i="1"/>
  <c r="M33" i="1"/>
  <c r="M5" i="1"/>
  <c r="M8" i="1" s="1"/>
  <c r="M11" i="1" s="1"/>
  <c r="M14" i="1" s="1"/>
  <c r="M17" i="1" s="1"/>
  <c r="T88" i="1" l="1"/>
  <c r="T85" i="1" s="1"/>
  <c r="T82" i="1" s="1"/>
  <c r="T216" i="1"/>
  <c r="T215" i="1" s="1"/>
  <c r="T213" i="1" s="1"/>
  <c r="T212" i="1" s="1"/>
  <c r="T211" i="1" s="1"/>
  <c r="T271" i="1"/>
  <c r="T269" i="1" s="1"/>
  <c r="T268" i="1" s="1"/>
  <c r="T75" i="1"/>
  <c r="T350" i="1"/>
  <c r="T144" i="1"/>
  <c r="T143" i="1" s="1"/>
  <c r="T400" i="1"/>
  <c r="T399" i="1" s="1"/>
  <c r="T235" i="1"/>
  <c r="T21" i="1"/>
  <c r="T23" i="1" s="1"/>
  <c r="T282" i="1"/>
  <c r="T280" i="1" s="1"/>
  <c r="T279" i="1" s="1"/>
  <c r="T98" i="1"/>
  <c r="T231" i="1"/>
  <c r="T228" i="1" s="1"/>
  <c r="T227" i="1" s="1"/>
  <c r="T226" i="1" s="1"/>
  <c r="T233" i="1"/>
  <c r="S343" i="1"/>
  <c r="S282" i="1"/>
  <c r="S280" i="1" s="1"/>
  <c r="S279" i="1" s="1"/>
  <c r="S400" i="1"/>
  <c r="S399" i="1" s="1"/>
  <c r="S271" i="1"/>
  <c r="S269" i="1" s="1"/>
  <c r="S268" i="1" s="1"/>
  <c r="S103" i="1"/>
  <c r="S75" i="1"/>
  <c r="S216" i="1"/>
  <c r="S215" i="1" s="1"/>
  <c r="S213" i="1" s="1"/>
  <c r="S212" i="1" s="1"/>
  <c r="S211" i="1" s="1"/>
  <c r="S235" i="1"/>
  <c r="S21" i="1"/>
  <c r="S23" i="1" s="1"/>
  <c r="S104" i="1"/>
  <c r="S122" i="1"/>
  <c r="S124" i="1" s="1"/>
  <c r="S231" i="1"/>
  <c r="S228" i="1" s="1"/>
  <c r="S227" i="1" s="1"/>
  <c r="S226" i="1" s="1"/>
  <c r="S97" i="1"/>
  <c r="Q67" i="1"/>
  <c r="Q343" i="1"/>
  <c r="R341" i="1"/>
  <c r="R342" i="1"/>
  <c r="R343" i="1"/>
  <c r="R21" i="1"/>
  <c r="R23" i="1" s="1"/>
  <c r="R144" i="1"/>
  <c r="R143" i="1" s="1"/>
  <c r="R400" i="1"/>
  <c r="R399" i="1" s="1"/>
  <c r="R350" i="1"/>
  <c r="R282" i="1"/>
  <c r="R280" i="1" s="1"/>
  <c r="R279" i="1" s="1"/>
  <c r="R366" i="1"/>
  <c r="R235" i="1"/>
  <c r="R363" i="1"/>
  <c r="R369" i="1" s="1"/>
  <c r="R368" i="1" s="1"/>
  <c r="R103" i="1"/>
  <c r="R104" i="1" s="1"/>
  <c r="R271" i="1"/>
  <c r="R269" i="1" s="1"/>
  <c r="R268" i="1" s="1"/>
  <c r="R75" i="1"/>
  <c r="R231" i="1"/>
  <c r="R233" i="1"/>
  <c r="Q341" i="1"/>
  <c r="Q271" i="1"/>
  <c r="Q269" i="1" s="1"/>
  <c r="Q268" i="1" s="1"/>
  <c r="Q103" i="1"/>
  <c r="Q75" i="1"/>
  <c r="Q350" i="1"/>
  <c r="Q104" i="1"/>
  <c r="Q122" i="1" s="1"/>
  <c r="Q124" i="1" s="1"/>
  <c r="Q217" i="1"/>
  <c r="Q21" i="1"/>
  <c r="Q23" i="1" s="1"/>
  <c r="Q235" i="1"/>
  <c r="Q282" i="1"/>
  <c r="Q280" i="1" s="1"/>
  <c r="Q279" i="1" s="1"/>
  <c r="Q228" i="1"/>
  <c r="Q227" i="1" s="1"/>
  <c r="Q226" i="1" s="1"/>
  <c r="Q145" i="1"/>
  <c r="Q216" i="1"/>
  <c r="Q215" i="1" s="1"/>
  <c r="Q213" i="1" s="1"/>
  <c r="Q212" i="1" s="1"/>
  <c r="Q211" i="1" s="1"/>
  <c r="P341" i="1"/>
  <c r="P342" i="1"/>
  <c r="P67" i="1"/>
  <c r="P88" i="1"/>
  <c r="P85" i="1" s="1"/>
  <c r="P82" i="1" s="1"/>
  <c r="P98" i="1"/>
  <c r="P103" i="1" s="1"/>
  <c r="P343" i="1"/>
  <c r="P282" i="1"/>
  <c r="P280" i="1" s="1"/>
  <c r="P279" i="1" s="1"/>
  <c r="P350" i="1"/>
  <c r="P366" i="1"/>
  <c r="P363" i="1" s="1"/>
  <c r="P369" i="1" s="1"/>
  <c r="P235" i="1"/>
  <c r="P21" i="1"/>
  <c r="P23" i="1" s="1"/>
  <c r="P271" i="1"/>
  <c r="P269" i="1" s="1"/>
  <c r="P268" i="1" s="1"/>
  <c r="P75" i="1"/>
  <c r="P145" i="1"/>
  <c r="P400" i="1" s="1"/>
  <c r="P399" i="1" s="1"/>
  <c r="P231" i="1"/>
  <c r="P233" i="1"/>
  <c r="K247" i="1"/>
  <c r="K231" i="1"/>
  <c r="K233" i="1"/>
  <c r="K218" i="1"/>
  <c r="K217" i="1" s="1"/>
  <c r="K237" i="1"/>
  <c r="K234" i="1" s="1"/>
  <c r="K235" i="1" s="1"/>
  <c r="O341" i="1"/>
  <c r="M341" i="1"/>
  <c r="O343" i="1"/>
  <c r="N67" i="1"/>
  <c r="N282" i="1" s="1"/>
  <c r="N280" i="1" s="1"/>
  <c r="N279" i="1" s="1"/>
  <c r="O400" i="1"/>
  <c r="O399" i="1" s="1"/>
  <c r="O408" i="1" s="1"/>
  <c r="N341" i="1"/>
  <c r="O342" i="1"/>
  <c r="N31" i="1"/>
  <c r="O67" i="1"/>
  <c r="O282" i="1" s="1"/>
  <c r="O280" i="1" s="1"/>
  <c r="O279" i="1" s="1"/>
  <c r="O31" i="1"/>
  <c r="N343" i="1"/>
  <c r="O88" i="1"/>
  <c r="O85" i="1" s="1"/>
  <c r="O82" i="1" s="1"/>
  <c r="O98" i="1"/>
  <c r="N88" i="1"/>
  <c r="N85" i="1" s="1"/>
  <c r="N82" i="1" s="1"/>
  <c r="N98" i="1"/>
  <c r="O21" i="1"/>
  <c r="O365" i="1" s="1"/>
  <c r="O350" i="1"/>
  <c r="N342" i="1"/>
  <c r="N350" i="1"/>
  <c r="N21" i="1"/>
  <c r="N365" i="1" s="1"/>
  <c r="N99" i="1"/>
  <c r="N117" i="1" s="1"/>
  <c r="N115" i="1" s="1"/>
  <c r="N112" i="1" s="1"/>
  <c r="N159" i="1"/>
  <c r="N158" i="1" s="1"/>
  <c r="N145" i="1" s="1"/>
  <c r="M342" i="1"/>
  <c r="M88" i="1"/>
  <c r="M85" i="1" s="1"/>
  <c r="M82" i="1" s="1"/>
  <c r="M31" i="1"/>
  <c r="M67" i="1"/>
  <c r="M271" i="1" s="1"/>
  <c r="M269" i="1" s="1"/>
  <c r="M268" i="1" s="1"/>
  <c r="M343" i="1"/>
  <c r="M21" i="1"/>
  <c r="M365" i="1" s="1"/>
  <c r="M350" i="1"/>
  <c r="M99" i="1"/>
  <c r="M117" i="1" s="1"/>
  <c r="M115" i="1" s="1"/>
  <c r="M112" i="1" s="1"/>
  <c r="M159" i="1"/>
  <c r="M158" i="1" s="1"/>
  <c r="M145" i="1" s="1"/>
  <c r="T27" i="1" l="1"/>
  <c r="T47" i="1"/>
  <c r="T76" i="1"/>
  <c r="T93" i="1" s="1"/>
  <c r="T95" i="1" s="1"/>
  <c r="T103" i="1"/>
  <c r="T104" i="1" s="1"/>
  <c r="T122" i="1" s="1"/>
  <c r="T124" i="1" s="1"/>
  <c r="T410" i="1"/>
  <c r="T338" i="1" s="1"/>
  <c r="T409" i="1"/>
  <c r="T337" i="1" s="1"/>
  <c r="T411" i="1"/>
  <c r="T339" i="1" s="1"/>
  <c r="T408" i="1"/>
  <c r="T407" i="1"/>
  <c r="T406" i="1"/>
  <c r="T405" i="1"/>
  <c r="T404" i="1" s="1"/>
  <c r="T412" i="1"/>
  <c r="T340" i="1" s="1"/>
  <c r="T366" i="1"/>
  <c r="T363" i="1" s="1"/>
  <c r="T369" i="1" s="1"/>
  <c r="S27" i="1"/>
  <c r="S47" i="1"/>
  <c r="S76" i="1"/>
  <c r="S69" i="1" s="1"/>
  <c r="S366" i="1"/>
  <c r="S363" i="1" s="1"/>
  <c r="S369" i="1" s="1"/>
  <c r="S409" i="1"/>
  <c r="S337" i="1" s="1"/>
  <c r="S407" i="1"/>
  <c r="S406" i="1"/>
  <c r="S412" i="1"/>
  <c r="S340" i="1" s="1"/>
  <c r="S411" i="1"/>
  <c r="S339" i="1" s="1"/>
  <c r="S410" i="1"/>
  <c r="S338" i="1" s="1"/>
  <c r="S408" i="1"/>
  <c r="S93" i="1"/>
  <c r="S95" i="1" s="1"/>
  <c r="R47" i="1"/>
  <c r="R27" i="1"/>
  <c r="R228" i="1"/>
  <c r="R227" i="1" s="1"/>
  <c r="R226" i="1" s="1"/>
  <c r="R122" i="1"/>
  <c r="R124" i="1" s="1"/>
  <c r="R97" i="1"/>
  <c r="R410" i="1"/>
  <c r="R338" i="1" s="1"/>
  <c r="R409" i="1"/>
  <c r="R337" i="1" s="1"/>
  <c r="R408" i="1"/>
  <c r="R407" i="1"/>
  <c r="R406" i="1"/>
  <c r="R405" i="1"/>
  <c r="R412" i="1"/>
  <c r="R340" i="1" s="1"/>
  <c r="R411" i="1"/>
  <c r="R339" i="1" s="1"/>
  <c r="R76" i="1"/>
  <c r="R93" i="1" s="1"/>
  <c r="R95" i="1" s="1"/>
  <c r="Q47" i="1"/>
  <c r="Q27" i="1"/>
  <c r="Q366" i="1"/>
  <c r="Q363" i="1" s="1"/>
  <c r="Q369" i="1" s="1"/>
  <c r="Q144" i="1"/>
  <c r="Q143" i="1" s="1"/>
  <c r="Q400" i="1"/>
  <c r="Q399" i="1" s="1"/>
  <c r="Q76" i="1"/>
  <c r="Q93" i="1" s="1"/>
  <c r="Q95" i="1" s="1"/>
  <c r="Q69" i="1"/>
  <c r="Q97" i="1"/>
  <c r="P368" i="1"/>
  <c r="P104" i="1"/>
  <c r="P122" i="1" s="1"/>
  <c r="P124" i="1" s="1"/>
  <c r="P410" i="1"/>
  <c r="P338" i="1" s="1"/>
  <c r="P409" i="1"/>
  <c r="P337" i="1" s="1"/>
  <c r="P408" i="1"/>
  <c r="P407" i="1"/>
  <c r="P406" i="1"/>
  <c r="P405" i="1"/>
  <c r="P411" i="1"/>
  <c r="P339" i="1" s="1"/>
  <c r="P412" i="1"/>
  <c r="P340" i="1" s="1"/>
  <c r="P228" i="1"/>
  <c r="P227" i="1" s="1"/>
  <c r="P226" i="1" s="1"/>
  <c r="P76" i="1"/>
  <c r="P93" i="1" s="1"/>
  <c r="P95" i="1" s="1"/>
  <c r="P47" i="1"/>
  <c r="P27" i="1"/>
  <c r="K228" i="1"/>
  <c r="K216" i="1"/>
  <c r="K215" i="1" s="1"/>
  <c r="K213" i="1" s="1"/>
  <c r="K212" i="1" s="1"/>
  <c r="K211" i="1" s="1"/>
  <c r="K366" i="1" s="1"/>
  <c r="N271" i="1"/>
  <c r="N269" i="1" s="1"/>
  <c r="N268" i="1" s="1"/>
  <c r="N196" i="1" s="1"/>
  <c r="N75" i="1"/>
  <c r="N76" i="1" s="1"/>
  <c r="N93" i="1" s="1"/>
  <c r="N95" i="1" s="1"/>
  <c r="O406" i="1"/>
  <c r="O409" i="1"/>
  <c r="O337" i="1" s="1"/>
  <c r="O410" i="1"/>
  <c r="O338" i="1" s="1"/>
  <c r="O271" i="1"/>
  <c r="O269" i="1" s="1"/>
  <c r="O268" i="1" s="1"/>
  <c r="O196" i="1" s="1"/>
  <c r="O197" i="1" s="1"/>
  <c r="O412" i="1"/>
  <c r="O340" i="1" s="1"/>
  <c r="O411" i="1"/>
  <c r="O339" i="1" s="1"/>
  <c r="O405" i="1"/>
  <c r="O75" i="1"/>
  <c r="O76" i="1" s="1"/>
  <c r="O93" i="1" s="1"/>
  <c r="O95" i="1" s="1"/>
  <c r="O407" i="1"/>
  <c r="O103" i="1"/>
  <c r="O104" i="1" s="1"/>
  <c r="N103" i="1"/>
  <c r="N104" i="1" s="1"/>
  <c r="M75" i="1"/>
  <c r="M76" i="1" s="1"/>
  <c r="M93" i="1" s="1"/>
  <c r="M95" i="1" s="1"/>
  <c r="O23" i="1"/>
  <c r="N144" i="1"/>
  <c r="N143" i="1" s="1"/>
  <c r="N400" i="1"/>
  <c r="N399" i="1" s="1"/>
  <c r="N23" i="1"/>
  <c r="M23" i="1"/>
  <c r="M47" i="1" s="1"/>
  <c r="M103" i="1"/>
  <c r="M104" i="1" s="1"/>
  <c r="M122" i="1" s="1"/>
  <c r="M124" i="1" s="1"/>
  <c r="M282" i="1"/>
  <c r="M280" i="1" s="1"/>
  <c r="M279" i="1" s="1"/>
  <c r="M144" i="1"/>
  <c r="M143" i="1" s="1"/>
  <c r="M400" i="1"/>
  <c r="M399" i="1" s="1"/>
  <c r="T97" i="1" l="1"/>
  <c r="T69" i="1"/>
  <c r="T368" i="1"/>
  <c r="T46" i="1"/>
  <c r="T42" i="1" s="1"/>
  <c r="T133" i="1"/>
  <c r="T132" i="1" s="1"/>
  <c r="T130" i="1" s="1"/>
  <c r="T189" i="1"/>
  <c r="T188" i="1" s="1"/>
  <c r="T187" i="1" s="1"/>
  <c r="T28" i="1"/>
  <c r="T183" i="1" s="1"/>
  <c r="T182" i="1" s="1"/>
  <c r="S81" i="1"/>
  <c r="S54" i="1"/>
  <c r="S368" i="1"/>
  <c r="S404" i="1"/>
  <c r="S46" i="1"/>
  <c r="S42" i="1" s="1"/>
  <c r="S133" i="1"/>
  <c r="S132" i="1" s="1"/>
  <c r="S130" i="1" s="1"/>
  <c r="S28" i="1"/>
  <c r="S183" i="1" s="1"/>
  <c r="S182" i="1" s="1"/>
  <c r="S189" i="1"/>
  <c r="S188" i="1" s="1"/>
  <c r="S187" i="1" s="1"/>
  <c r="S179" i="1" s="1"/>
  <c r="R69" i="1"/>
  <c r="R81" i="1" s="1"/>
  <c r="R54" i="1"/>
  <c r="R404" i="1"/>
  <c r="R189" i="1"/>
  <c r="R188" i="1" s="1"/>
  <c r="R187" i="1" s="1"/>
  <c r="R179" i="1" s="1"/>
  <c r="R28" i="1"/>
  <c r="R46" i="1"/>
  <c r="R42" i="1" s="1"/>
  <c r="R133" i="1"/>
  <c r="R132" i="1" s="1"/>
  <c r="R130" i="1" s="1"/>
  <c r="Q410" i="1"/>
  <c r="Q338" i="1" s="1"/>
  <c r="Q409" i="1"/>
  <c r="Q337" i="1" s="1"/>
  <c r="Q405" i="1"/>
  <c r="Q408" i="1"/>
  <c r="Q407" i="1"/>
  <c r="Q406" i="1"/>
  <c r="Q412" i="1"/>
  <c r="Q340" i="1" s="1"/>
  <c r="Q411" i="1"/>
  <c r="Q339" i="1" s="1"/>
  <c r="Q54" i="1"/>
  <c r="Q81" i="1"/>
  <c r="Q368" i="1"/>
  <c r="Q189" i="1"/>
  <c r="Q188" i="1" s="1"/>
  <c r="Q187" i="1" s="1"/>
  <c r="Q179" i="1" s="1"/>
  <c r="Q28" i="1"/>
  <c r="Q46" i="1"/>
  <c r="Q42" i="1" s="1"/>
  <c r="Q133" i="1"/>
  <c r="Q132" i="1" s="1"/>
  <c r="Q130" i="1" s="1"/>
  <c r="P69" i="1"/>
  <c r="P97" i="1"/>
  <c r="P404" i="1"/>
  <c r="P189" i="1"/>
  <c r="P188" i="1" s="1"/>
  <c r="P187" i="1" s="1"/>
  <c r="P179" i="1" s="1"/>
  <c r="P28" i="1"/>
  <c r="P46" i="1"/>
  <c r="P42" i="1" s="1"/>
  <c r="P133" i="1"/>
  <c r="P132" i="1" s="1"/>
  <c r="P130" i="1" s="1"/>
  <c r="O404" i="1"/>
  <c r="N97" i="1"/>
  <c r="N122" i="1"/>
  <c r="N124" i="1" s="1"/>
  <c r="O122" i="1"/>
  <c r="O124" i="1" s="1"/>
  <c r="O97" i="1"/>
  <c r="M27" i="1"/>
  <c r="M302" i="1" s="1"/>
  <c r="M196" i="1"/>
  <c r="M197" i="1" s="1"/>
  <c r="M69" i="1"/>
  <c r="M81" i="1" s="1"/>
  <c r="O69" i="1"/>
  <c r="O27" i="1"/>
  <c r="O47" i="1"/>
  <c r="N27" i="1"/>
  <c r="N47" i="1"/>
  <c r="N69" i="1"/>
  <c r="N197" i="1"/>
  <c r="N410" i="1"/>
  <c r="N338" i="1" s="1"/>
  <c r="N405" i="1"/>
  <c r="N409" i="1"/>
  <c r="N337" i="1" s="1"/>
  <c r="N406" i="1"/>
  <c r="N408" i="1"/>
  <c r="N407" i="1"/>
  <c r="N412" i="1"/>
  <c r="N340" i="1" s="1"/>
  <c r="N411" i="1"/>
  <c r="N339" i="1" s="1"/>
  <c r="M46" i="1"/>
  <c r="M42" i="1" s="1"/>
  <c r="M133" i="1"/>
  <c r="M132" i="1" s="1"/>
  <c r="M130" i="1" s="1"/>
  <c r="M97" i="1"/>
  <c r="M410" i="1"/>
  <c r="M338" i="1" s="1"/>
  <c r="M409" i="1"/>
  <c r="M337" i="1" s="1"/>
  <c r="M408" i="1"/>
  <c r="M407" i="1"/>
  <c r="M405" i="1"/>
  <c r="M406" i="1"/>
  <c r="M334" i="1" s="1"/>
  <c r="M412" i="1"/>
  <c r="M340" i="1" s="1"/>
  <c r="M411" i="1"/>
  <c r="M339" i="1" s="1"/>
  <c r="T54" i="1" l="1"/>
  <c r="T81" i="1"/>
  <c r="T179" i="1"/>
  <c r="S180" i="1"/>
  <c r="S178" i="1"/>
  <c r="S55" i="1"/>
  <c r="S126" i="1"/>
  <c r="S127" i="1" s="1"/>
  <c r="R180" i="1"/>
  <c r="R178" i="1"/>
  <c r="R126" i="1" s="1"/>
  <c r="R127" i="1" s="1"/>
  <c r="R55" i="1"/>
  <c r="Q180" i="1"/>
  <c r="Q178" i="1"/>
  <c r="Q126" i="1" s="1"/>
  <c r="Q404" i="1"/>
  <c r="Q55" i="1"/>
  <c r="P180" i="1"/>
  <c r="P178" i="1"/>
  <c r="P126" i="1" s="1"/>
  <c r="P127" i="1" s="1"/>
  <c r="P81" i="1"/>
  <c r="P54" i="1"/>
  <c r="M306" i="1"/>
  <c r="M292" i="1"/>
  <c r="M189" i="1"/>
  <c r="M188" i="1" s="1"/>
  <c r="M187" i="1" s="1"/>
  <c r="M179" i="1" s="1"/>
  <c r="M180" i="1" s="1"/>
  <c r="M28" i="1"/>
  <c r="O46" i="1"/>
  <c r="O42" i="1" s="1"/>
  <c r="O133" i="1"/>
  <c r="O132" i="1" s="1"/>
  <c r="O130" i="1" s="1"/>
  <c r="O302" i="1"/>
  <c r="O28" i="1"/>
  <c r="O189" i="1"/>
  <c r="O188" i="1" s="1"/>
  <c r="O187" i="1" s="1"/>
  <c r="O179" i="1" s="1"/>
  <c r="O306" i="1"/>
  <c r="O292" i="1"/>
  <c r="O81" i="1"/>
  <c r="O54" i="1"/>
  <c r="N404" i="1"/>
  <c r="N81" i="1"/>
  <c r="N54" i="1"/>
  <c r="N46" i="1"/>
  <c r="N42" i="1" s="1"/>
  <c r="N133" i="1"/>
  <c r="N132" i="1" s="1"/>
  <c r="N130" i="1" s="1"/>
  <c r="N302" i="1"/>
  <c r="N28" i="1"/>
  <c r="N292" i="1"/>
  <c r="N189" i="1"/>
  <c r="N188" i="1" s="1"/>
  <c r="N187" i="1" s="1"/>
  <c r="N179" i="1" s="1"/>
  <c r="N306" i="1"/>
  <c r="M54" i="1"/>
  <c r="M55" i="1" s="1"/>
  <c r="M404" i="1"/>
  <c r="T178" i="1" l="1"/>
  <c r="T126" i="1" s="1"/>
  <c r="T127" i="1" s="1"/>
  <c r="T180" i="1"/>
  <c r="T266" i="1"/>
  <c r="T264" i="1" s="1"/>
  <c r="T262" i="1" s="1"/>
  <c r="T196" i="1" s="1"/>
  <c r="T296" i="1" s="1"/>
  <c r="T55" i="1"/>
  <c r="S168" i="1"/>
  <c r="S266" i="1"/>
  <c r="S264" i="1" s="1"/>
  <c r="S262" i="1" s="1"/>
  <c r="S196" i="1" s="1"/>
  <c r="S296" i="1" s="1"/>
  <c r="R266" i="1"/>
  <c r="R264" i="1" s="1"/>
  <c r="R262" i="1" s="1"/>
  <c r="R196" i="1" s="1"/>
  <c r="R296" i="1" s="1"/>
  <c r="R297" i="1" s="1"/>
  <c r="R168" i="1"/>
  <c r="Q127" i="1"/>
  <c r="Q266" i="1"/>
  <c r="Q264" i="1" s="1"/>
  <c r="Q262" i="1" s="1"/>
  <c r="Q196" i="1" s="1"/>
  <c r="Q296" i="1" s="1"/>
  <c r="P266" i="1"/>
  <c r="P264" i="1" s="1"/>
  <c r="P262" i="1" s="1"/>
  <c r="P196" i="1" s="1"/>
  <c r="P296" i="1" s="1"/>
  <c r="P55" i="1"/>
  <c r="P168" i="1"/>
  <c r="M178" i="1"/>
  <c r="M126" i="1" s="1"/>
  <c r="M127" i="1" s="1"/>
  <c r="O180" i="1"/>
  <c r="O178" i="1"/>
  <c r="O126" i="1" s="1"/>
  <c r="O127" i="1" s="1"/>
  <c r="O55" i="1"/>
  <c r="N178" i="1"/>
  <c r="N126" i="1" s="1"/>
  <c r="N180" i="1"/>
  <c r="N55" i="1"/>
  <c r="T297" i="1" l="1"/>
  <c r="T384" i="1"/>
  <c r="T381" i="1" s="1"/>
  <c r="T387" i="1" s="1"/>
  <c r="T320" i="1"/>
  <c r="T198" i="1" s="1"/>
  <c r="T197" i="1"/>
  <c r="T168" i="1"/>
  <c r="S320" i="1"/>
  <c r="S198" i="1" s="1"/>
  <c r="S297" i="1"/>
  <c r="S384" i="1"/>
  <c r="S381" i="1" s="1"/>
  <c r="S387" i="1" s="1"/>
  <c r="S197" i="1"/>
  <c r="R320" i="1"/>
  <c r="R198" i="1" s="1"/>
  <c r="R197" i="1"/>
  <c r="R384" i="1"/>
  <c r="R381" i="1" s="1"/>
  <c r="R387" i="1" s="1"/>
  <c r="R333" i="1" s="1"/>
  <c r="Q297" i="1"/>
  <c r="Q384" i="1"/>
  <c r="Q381" i="1" s="1"/>
  <c r="Q387" i="1" s="1"/>
  <c r="Q320" i="1"/>
  <c r="Q198" i="1" s="1"/>
  <c r="Q197" i="1"/>
  <c r="Q168" i="1"/>
  <c r="P297" i="1"/>
  <c r="P384" i="1"/>
  <c r="P381" i="1" s="1"/>
  <c r="P387" i="1" s="1"/>
  <c r="P320" i="1"/>
  <c r="P198" i="1" s="1"/>
  <c r="P197" i="1"/>
  <c r="M296" i="1"/>
  <c r="M320" i="1" s="1"/>
  <c r="O296" i="1"/>
  <c r="O297" i="1" s="1"/>
  <c r="O168" i="1"/>
  <c r="N127" i="1"/>
  <c r="N296" i="1"/>
  <c r="M168" i="1"/>
  <c r="T323" i="1" l="1"/>
  <c r="T310" i="1"/>
  <c r="T321" i="1"/>
  <c r="T56" i="1"/>
  <c r="T386" i="1"/>
  <c r="T333" i="1"/>
  <c r="T298" i="1"/>
  <c r="S386" i="1"/>
  <c r="S333" i="1"/>
  <c r="S321" i="1"/>
  <c r="S323" i="1"/>
  <c r="S310" i="1"/>
  <c r="S56" i="1"/>
  <c r="S298" i="1"/>
  <c r="R298" i="1"/>
  <c r="R56" i="1"/>
  <c r="R321" i="1"/>
  <c r="R303" i="1" s="1"/>
  <c r="R310" i="1"/>
  <c r="R315" i="1" s="1"/>
  <c r="R316" i="1" s="1"/>
  <c r="R323" i="1"/>
  <c r="R386" i="1"/>
  <c r="R317" i="1"/>
  <c r="R293" i="1"/>
  <c r="Q298" i="1"/>
  <c r="Q323" i="1"/>
  <c r="Q321" i="1"/>
  <c r="Q310" i="1"/>
  <c r="Q56" i="1"/>
  <c r="Q386" i="1"/>
  <c r="Q333" i="1"/>
  <c r="P386" i="1"/>
  <c r="P333" i="1"/>
  <c r="P323" i="1"/>
  <c r="P310" i="1"/>
  <c r="P321" i="1"/>
  <c r="P56" i="1"/>
  <c r="P298" i="1"/>
  <c r="M366" i="1"/>
  <c r="M363" i="1" s="1"/>
  <c r="M369" i="1" s="1"/>
  <c r="M368" i="1" s="1"/>
  <c r="M384" i="1"/>
  <c r="M381" i="1" s="1"/>
  <c r="M387" i="1" s="1"/>
  <c r="M386" i="1" s="1"/>
  <c r="M297" i="1"/>
  <c r="O320" i="1"/>
  <c r="O323" i="1" s="1"/>
  <c r="O366" i="1"/>
  <c r="O363" i="1" s="1"/>
  <c r="O369" i="1" s="1"/>
  <c r="O368" i="1" s="1"/>
  <c r="O384" i="1"/>
  <c r="O381" i="1" s="1"/>
  <c r="O387" i="1" s="1"/>
  <c r="O386" i="1" s="1"/>
  <c r="N297" i="1"/>
  <c r="N384" i="1"/>
  <c r="N381" i="1" s="1"/>
  <c r="N387" i="1" s="1"/>
  <c r="N386" i="1" s="1"/>
  <c r="N320" i="1"/>
  <c r="N366" i="1"/>
  <c r="N363" i="1" s="1"/>
  <c r="N369" i="1" s="1"/>
  <c r="N168" i="1"/>
  <c r="M321" i="1"/>
  <c r="M323" i="1"/>
  <c r="M310" i="1"/>
  <c r="M198" i="1"/>
  <c r="M56" i="1"/>
  <c r="M298" i="1"/>
  <c r="T303" i="1" l="1"/>
  <c r="T322" i="1"/>
  <c r="T293" i="1"/>
  <c r="T317" i="1"/>
  <c r="T307" i="1"/>
  <c r="T128" i="1"/>
  <c r="T315" i="1"/>
  <c r="T316" i="1" s="1"/>
  <c r="T311" i="1"/>
  <c r="S315" i="1"/>
  <c r="S316" i="1" s="1"/>
  <c r="S311" i="1"/>
  <c r="S322" i="1"/>
  <c r="S293" i="1"/>
  <c r="S317" i="1"/>
  <c r="S303" i="1"/>
  <c r="S307" i="1"/>
  <c r="S128" i="1"/>
  <c r="R322" i="1"/>
  <c r="R311" i="1"/>
  <c r="R312" i="1" s="1"/>
  <c r="R128" i="1"/>
  <c r="R307" i="1"/>
  <c r="Q315" i="1"/>
  <c r="Q316" i="1" s="1"/>
  <c r="Q311" i="1"/>
  <c r="Q307" i="1"/>
  <c r="Q303" i="1"/>
  <c r="Q322" i="1"/>
  <c r="Q293" i="1"/>
  <c r="Q317" i="1"/>
  <c r="Q128" i="1"/>
  <c r="P322" i="1"/>
  <c r="P293" i="1"/>
  <c r="P307" i="1"/>
  <c r="P317" i="1"/>
  <c r="P303" i="1"/>
  <c r="P128" i="1"/>
  <c r="P315" i="1"/>
  <c r="P316" i="1" s="1"/>
  <c r="P311" i="1"/>
  <c r="O198" i="1"/>
  <c r="O298" i="1"/>
  <c r="M333" i="1"/>
  <c r="O56" i="1"/>
  <c r="O321" i="1"/>
  <c r="O322" i="1" s="1"/>
  <c r="O310" i="1"/>
  <c r="O311" i="1" s="1"/>
  <c r="O333" i="1"/>
  <c r="N368" i="1"/>
  <c r="N333" i="1"/>
  <c r="N310" i="1"/>
  <c r="N321" i="1"/>
  <c r="N323" i="1"/>
  <c r="N198" i="1"/>
  <c r="N56" i="1"/>
  <c r="N298" i="1"/>
  <c r="M315" i="1"/>
  <c r="M316" i="1" s="1"/>
  <c r="M311" i="1"/>
  <c r="M322" i="1"/>
  <c r="M293" i="1"/>
  <c r="M317" i="1"/>
  <c r="M303" i="1"/>
  <c r="M307" i="1"/>
  <c r="M128" i="1"/>
  <c r="T423" i="1" l="1"/>
  <c r="T335" i="1" s="1"/>
  <c r="T422" i="1"/>
  <c r="T312" i="1"/>
  <c r="T424" i="1"/>
  <c r="T336" i="1" s="1"/>
  <c r="S423" i="1"/>
  <c r="S335" i="1" s="1"/>
  <c r="S422" i="1"/>
  <c r="S312" i="1"/>
  <c r="S424" i="1"/>
  <c r="S336" i="1" s="1"/>
  <c r="R424" i="1"/>
  <c r="R336" i="1" s="1"/>
  <c r="R422" i="1"/>
  <c r="R334" i="1" s="1"/>
  <c r="R423" i="1"/>
  <c r="R335" i="1" s="1"/>
  <c r="Q423" i="1"/>
  <c r="Q335" i="1" s="1"/>
  <c r="Q422" i="1"/>
  <c r="Q312" i="1"/>
  <c r="Q424" i="1"/>
  <c r="Q336" i="1" s="1"/>
  <c r="P423" i="1"/>
  <c r="P335" i="1" s="1"/>
  <c r="P422" i="1"/>
  <c r="P312" i="1"/>
  <c r="P424" i="1"/>
  <c r="P336" i="1" s="1"/>
  <c r="O293" i="1"/>
  <c r="O317" i="1"/>
  <c r="O307" i="1"/>
  <c r="O128" i="1"/>
  <c r="O303" i="1"/>
  <c r="O315" i="1"/>
  <c r="O316" i="1" s="1"/>
  <c r="O423" i="1"/>
  <c r="O335" i="1" s="1"/>
  <c r="O312" i="1"/>
  <c r="O424" i="1"/>
  <c r="O336" i="1" s="1"/>
  <c r="O422" i="1"/>
  <c r="N322" i="1"/>
  <c r="N293" i="1"/>
  <c r="N317" i="1"/>
  <c r="N303" i="1"/>
  <c r="N307" i="1"/>
  <c r="N128" i="1"/>
  <c r="N315" i="1"/>
  <c r="N316" i="1" s="1"/>
  <c r="N311" i="1"/>
  <c r="M423" i="1"/>
  <c r="M312" i="1"/>
  <c r="M424" i="1"/>
  <c r="M336" i="1" s="1"/>
  <c r="T420" i="1" l="1"/>
  <c r="T334" i="1"/>
  <c r="S420" i="1"/>
  <c r="S334" i="1"/>
  <c r="R420" i="1"/>
  <c r="R332" i="1"/>
  <c r="R331" i="1"/>
  <c r="Q420" i="1"/>
  <c r="Q334" i="1"/>
  <c r="P420" i="1"/>
  <c r="P334" i="1"/>
  <c r="O420" i="1"/>
  <c r="O334" i="1"/>
  <c r="N423" i="1"/>
  <c r="N335" i="1" s="1"/>
  <c r="N422" i="1"/>
  <c r="N312" i="1"/>
  <c r="N424" i="1"/>
  <c r="N336" i="1" s="1"/>
  <c r="M420" i="1"/>
  <c r="M335" i="1"/>
  <c r="T332" i="1" l="1"/>
  <c r="T331" i="1"/>
  <c r="S332" i="1"/>
  <c r="S331" i="1"/>
  <c r="Q332" i="1"/>
  <c r="Q331" i="1"/>
  <c r="P332" i="1"/>
  <c r="P331" i="1"/>
  <c r="O332" i="1"/>
  <c r="O331" i="1"/>
  <c r="N420" i="1"/>
  <c r="N334" i="1"/>
  <c r="M332" i="1"/>
  <c r="M331" i="1"/>
  <c r="K169" i="1"/>
  <c r="K167" i="1" s="1"/>
  <c r="N332" i="1" l="1"/>
  <c r="N331" i="1"/>
  <c r="K163" i="1"/>
  <c r="K159" i="1"/>
  <c r="K158" i="1" s="1"/>
  <c r="K145" i="1" s="1"/>
  <c r="K140" i="1"/>
  <c r="K139" i="1" s="1"/>
  <c r="K135" i="1"/>
  <c r="K288" i="1"/>
  <c r="K283" i="1" s="1"/>
  <c r="K277" i="1"/>
  <c r="K272" i="1" s="1"/>
  <c r="K71" i="1"/>
  <c r="K87" i="1"/>
  <c r="K105" i="1"/>
  <c r="K65" i="1"/>
  <c r="K64" i="1"/>
  <c r="K227" i="1" s="1"/>
  <c r="K226" i="1" s="1"/>
  <c r="K70" i="1"/>
  <c r="K100" i="1"/>
  <c r="K98" i="1" s="1"/>
  <c r="K37" i="1"/>
  <c r="K33" i="1"/>
  <c r="K415" i="1"/>
  <c r="K414" i="1"/>
  <c r="K413" i="1"/>
  <c r="K364" i="1"/>
  <c r="K346" i="1"/>
  <c r="K351" i="1" s="1"/>
  <c r="K350" i="1" s="1"/>
  <c r="J296" i="1"/>
  <c r="J320" i="1" s="1"/>
  <c r="E296" i="1"/>
  <c r="E320" i="1" s="1"/>
  <c r="J27" i="1"/>
  <c r="J127" i="1" s="1"/>
  <c r="K5" i="1"/>
  <c r="K8" i="1" s="1"/>
  <c r="K11" i="1" s="1"/>
  <c r="K14" i="1" s="1"/>
  <c r="K17" i="1" s="1"/>
  <c r="I5" i="1"/>
  <c r="I8" i="1" s="1"/>
  <c r="I11" i="1" s="1"/>
  <c r="I14" i="1" s="1"/>
  <c r="I17" i="1" s="1"/>
  <c r="H5" i="1"/>
  <c r="H8" i="1" s="1"/>
  <c r="H11" i="1" s="1"/>
  <c r="H14" i="1" s="1"/>
  <c r="H17" i="1" s="1"/>
  <c r="G5" i="1"/>
  <c r="G8" i="1" s="1"/>
  <c r="G11" i="1" s="1"/>
  <c r="G14" i="1" s="1"/>
  <c r="G17" i="1" s="1"/>
  <c r="F5" i="1"/>
  <c r="F8" i="1" s="1"/>
  <c r="F11" i="1" s="1"/>
  <c r="F14" i="1" s="1"/>
  <c r="F17" i="1" s="1"/>
  <c r="E5" i="1"/>
  <c r="E8" i="1" s="1"/>
  <c r="E11" i="1" s="1"/>
  <c r="E14" i="1" s="1"/>
  <c r="E17" i="1" s="1"/>
  <c r="G21" i="1" l="1"/>
  <c r="G23" i="1" s="1"/>
  <c r="I21" i="1"/>
  <c r="I23" i="1" s="1"/>
  <c r="H21" i="1"/>
  <c r="H23" i="1" s="1"/>
  <c r="E21" i="1"/>
  <c r="E23" i="1" s="1"/>
  <c r="E27" i="1" s="1"/>
  <c r="F21" i="1"/>
  <c r="F23" i="1" s="1"/>
  <c r="K21" i="1"/>
  <c r="J28" i="1"/>
  <c r="J292" i="1"/>
  <c r="J306" i="1"/>
  <c r="K31" i="1"/>
  <c r="J55" i="1"/>
  <c r="J302" i="1"/>
  <c r="E56" i="1"/>
  <c r="E128" i="1"/>
  <c r="J321" i="1"/>
  <c r="J128" i="1"/>
  <c r="J56" i="1"/>
  <c r="J297" i="1"/>
  <c r="E298" i="1"/>
  <c r="J298" i="1"/>
  <c r="K400" i="1"/>
  <c r="K399" i="1" s="1"/>
  <c r="K88" i="1"/>
  <c r="K85" i="1" s="1"/>
  <c r="K82" i="1" s="1"/>
  <c r="K99" i="1"/>
  <c r="K117" i="1" s="1"/>
  <c r="K115" i="1" s="1"/>
  <c r="K112" i="1" s="1"/>
  <c r="K67" i="1"/>
  <c r="K282" i="1" s="1"/>
  <c r="K280" i="1" s="1"/>
  <c r="K279" i="1" s="1"/>
  <c r="K341" i="1"/>
  <c r="K342" i="1"/>
  <c r="K343" i="1"/>
  <c r="J307" i="1" l="1"/>
  <c r="K23" i="1"/>
  <c r="K27" i="1" s="1"/>
  <c r="E127" i="1"/>
  <c r="E302" i="1"/>
  <c r="E55" i="1"/>
  <c r="E306" i="1"/>
  <c r="E292" i="1"/>
  <c r="E28" i="1"/>
  <c r="J293" i="1"/>
  <c r="E321" i="1"/>
  <c r="E293" i="1" s="1"/>
  <c r="E297" i="1"/>
  <c r="J303" i="1"/>
  <c r="K103" i="1"/>
  <c r="K271" i="1"/>
  <c r="K269" i="1" s="1"/>
  <c r="K268" i="1" s="1"/>
  <c r="K75" i="1"/>
  <c r="E307" i="1" l="1"/>
  <c r="K47" i="1"/>
  <c r="K133" i="1" s="1"/>
  <c r="K132" i="1" s="1"/>
  <c r="E303" i="1"/>
  <c r="K411" i="1"/>
  <c r="K339" i="1" s="1"/>
  <c r="K410" i="1"/>
  <c r="K338" i="1" s="1"/>
  <c r="K409" i="1"/>
  <c r="K337" i="1" s="1"/>
  <c r="K406" i="1"/>
  <c r="K405" i="1"/>
  <c r="K407" i="1"/>
  <c r="K408" i="1"/>
  <c r="K412" i="1"/>
  <c r="K340" i="1" s="1"/>
  <c r="K189" i="1"/>
  <c r="K188" i="1" s="1"/>
  <c r="K187" i="1" s="1"/>
  <c r="K179" i="1" s="1"/>
  <c r="K178" i="1" s="1"/>
  <c r="K28" i="1"/>
  <c r="K183" i="1" s="1"/>
  <c r="K182" i="1" s="1"/>
  <c r="K76" i="1"/>
  <c r="K69" i="1" s="1"/>
  <c r="K104" i="1"/>
  <c r="K122" i="1" s="1"/>
  <c r="K46" i="1" l="1"/>
  <c r="K42" i="1" s="1"/>
  <c r="K404" i="1"/>
  <c r="K180" i="1"/>
  <c r="K93" i="1"/>
  <c r="K95" i="1" s="1"/>
  <c r="K81" i="1"/>
  <c r="K124" i="1"/>
  <c r="K97" i="1"/>
  <c r="K54" i="1" s="1"/>
  <c r="K55" i="1" l="1"/>
  <c r="K144" i="1"/>
  <c r="K143" i="1" s="1"/>
  <c r="K130" i="1" l="1"/>
  <c r="K126" i="1" l="1"/>
  <c r="K127" i="1" l="1"/>
  <c r="K168" i="1" s="1"/>
  <c r="K266" i="1"/>
  <c r="K264" i="1" s="1"/>
  <c r="K262" i="1" s="1"/>
  <c r="K196" i="1" s="1"/>
  <c r="K197" i="1" s="1"/>
  <c r="K296" i="1" l="1"/>
  <c r="K384" i="1" s="1"/>
  <c r="K381" i="1" s="1"/>
  <c r="K387" i="1" s="1"/>
  <c r="K386" i="1" s="1"/>
  <c r="K297" i="1" l="1"/>
  <c r="K320" i="1"/>
  <c r="K198" i="1" s="1"/>
  <c r="K363" i="1"/>
  <c r="K369" i="1" s="1"/>
  <c r="K333" i="1" s="1"/>
  <c r="K310" i="1"/>
  <c r="K311" i="1" s="1"/>
  <c r="K56" i="1" l="1"/>
  <c r="K323" i="1"/>
  <c r="K298" i="1"/>
  <c r="K321" i="1"/>
  <c r="K128" i="1" s="1"/>
  <c r="K293" i="1"/>
  <c r="K317" i="1"/>
  <c r="K368" i="1"/>
  <c r="K315" i="1"/>
  <c r="K316" i="1" s="1"/>
  <c r="K303" i="1" l="1"/>
  <c r="K307" i="1"/>
  <c r="K322" i="1"/>
  <c r="K423" i="1"/>
  <c r="K424" i="1"/>
  <c r="K336" i="1" s="1"/>
  <c r="K422" i="1"/>
  <c r="K334" i="1" s="1"/>
  <c r="K312" i="1"/>
  <c r="K335" i="1" l="1"/>
  <c r="K420" i="1"/>
  <c r="K331" i="1" l="1"/>
  <c r="K332" i="1"/>
</calcChain>
</file>

<file path=xl/sharedStrings.xml><?xml version="1.0" encoding="utf-8"?>
<sst xmlns="http://schemas.openxmlformats.org/spreadsheetml/2006/main" count="878" uniqueCount="645">
  <si>
    <t>WHO OWNS ?</t>
  </si>
  <si>
    <t>ROW NAME</t>
  </si>
  <si>
    <t>UNITS</t>
  </si>
  <si>
    <t>ALL</t>
  </si>
  <si>
    <t>ALL PREM</t>
  </si>
  <si>
    <t>PREM DURABLE</t>
  </si>
  <si>
    <t>OPTION 4</t>
  </si>
  <si>
    <t>OPTION 5</t>
  </si>
  <si>
    <t>ALL POSSIBLE</t>
  </si>
  <si>
    <t>numALL</t>
  </si>
  <si>
    <t>%NEED</t>
  </si>
  <si>
    <t>BUSINESS, CHARITY, R&amp;D</t>
  </si>
  <si>
    <t>pNEED</t>
  </si>
  <si>
    <t>% ALL</t>
  </si>
  <si>
    <t># With Need</t>
  </si>
  <si>
    <t>numNEED</t>
  </si>
  <si>
    <t>#</t>
  </si>
  <si>
    <t>% AFFORD</t>
  </si>
  <si>
    <t>EVERYONE</t>
  </si>
  <si>
    <t>pAFFORD</t>
  </si>
  <si>
    <t>% NUM NEED</t>
  </si>
  <si>
    <t># With Need That Afford</t>
  </si>
  <si>
    <t>numAFFORD</t>
  </si>
  <si>
    <t>%AWARE</t>
  </si>
  <si>
    <t>MARKETING</t>
  </si>
  <si>
    <t>pAWARE</t>
  </si>
  <si>
    <t>% NUM AFFORD</t>
  </si>
  <si>
    <t># With Need That Afford That Are Aware</t>
  </si>
  <si>
    <t>numAWARE</t>
  </si>
  <si>
    <t>%ACCESS</t>
  </si>
  <si>
    <t>SALES</t>
  </si>
  <si>
    <t>pACCESS</t>
  </si>
  <si>
    <t>% NUM AWARE</t>
  </si>
  <si>
    <t># With Need That Afford That Are Aware That Have Access</t>
  </si>
  <si>
    <t>numACCESS</t>
  </si>
  <si>
    <t>%BUY (TRIAL)</t>
  </si>
  <si>
    <t>pTRY</t>
  </si>
  <si>
    <t xml:space="preserve"> </t>
  </si>
  <si>
    <t># With Need That Afford That Are Aware That Try</t>
  </si>
  <si>
    <t>numTRY</t>
  </si>
  <si>
    <t>% REPEAT</t>
  </si>
  <si>
    <t>R&amp;D</t>
  </si>
  <si>
    <t>pREPEAT</t>
  </si>
  <si>
    <t>% NUM TRY</t>
  </si>
  <si>
    <t># REPEAT</t>
  </si>
  <si>
    <t>numREPEAT</t>
  </si>
  <si>
    <t>REPEAT VOL</t>
  </si>
  <si>
    <t>volREPEAT</t>
  </si>
  <si>
    <t>Total Vol Y1</t>
  </si>
  <si>
    <t>SUPPLY CHAIN</t>
  </si>
  <si>
    <t>THRUPUT</t>
  </si>
  <si>
    <t># of Lines</t>
  </si>
  <si>
    <t>numLINES</t>
  </si>
  <si>
    <t>#lines</t>
  </si>
  <si>
    <t>Total Thruput</t>
  </si>
  <si>
    <t>totalTHRUPUT</t>
  </si>
  <si>
    <t>Total Prod</t>
  </si>
  <si>
    <t>Number per Line</t>
  </si>
  <si>
    <t>numPerLINE</t>
  </si>
  <si>
    <t>#/line</t>
  </si>
  <si>
    <t>Goal Seek To Get TO Match</t>
  </si>
  <si>
    <t>Delta Demand/Supply</t>
  </si>
  <si>
    <t>THRUPUT WHEN SCHEDULED</t>
  </si>
  <si>
    <t>thruputWhenScheduled</t>
  </si>
  <si>
    <t>Qty Per Day</t>
  </si>
  <si>
    <t>RATE</t>
  </si>
  <si>
    <t>rate</t>
  </si>
  <si>
    <t>#/min</t>
  </si>
  <si>
    <t xml:space="preserve">    Rate 1</t>
  </si>
  <si>
    <t>rate1</t>
  </si>
  <si>
    <t xml:space="preserve">     Rate 2</t>
  </si>
  <si>
    <t>rate2</t>
  </si>
  <si>
    <t>%RELIABILITY</t>
  </si>
  <si>
    <t>reliability</t>
  </si>
  <si>
    <t xml:space="preserve">     PLANNED DOWNTIME</t>
  </si>
  <si>
    <t>plannedDowntime</t>
  </si>
  <si>
    <t xml:space="preserve">     UNPLANNED DOWNTIME</t>
  </si>
  <si>
    <t>unplannedDowntime</t>
  </si>
  <si>
    <t xml:space="preserve">     SCRAP</t>
  </si>
  <si>
    <t>scrap</t>
  </si>
  <si>
    <t>%SCHED UTILIZATION</t>
  </si>
  <si>
    <t xml:space="preserve">     HOLIDAYS</t>
  </si>
  <si>
    <t>holidays</t>
  </si>
  <si>
    <t>#/year</t>
  </si>
  <si>
    <t xml:space="preserve">     DEVELOPMENT</t>
  </si>
  <si>
    <t>development</t>
  </si>
  <si>
    <t xml:space="preserve">     UNSTAFFED DAYS</t>
  </si>
  <si>
    <t>unstaffedDays</t>
  </si>
  <si>
    <t xml:space="preserve">     UNUSED DAYS</t>
  </si>
  <si>
    <t>unusedDays</t>
  </si>
  <si>
    <t xml:space="preserve">      DAYS NEEDED</t>
  </si>
  <si>
    <t>daysNeeded</t>
  </si>
  <si>
    <t>days/year</t>
  </si>
  <si>
    <t>MATERIAL COSTS</t>
  </si>
  <si>
    <t>$/penny</t>
  </si>
  <si>
    <t>$/year</t>
  </si>
  <si>
    <t>MANUFACTURING</t>
  </si>
  <si>
    <t>dollPerYEARmanu</t>
  </si>
  <si>
    <t>% of Total Cost</t>
  </si>
  <si>
    <t>LOGISTICS</t>
  </si>
  <si>
    <t>OTHER COGS</t>
  </si>
  <si>
    <t>dollPerPENNYocgs</t>
  </si>
  <si>
    <t>dollPerYEARocgs</t>
  </si>
  <si>
    <t>TOTAL COGS</t>
  </si>
  <si>
    <t>dollPerPENNYtotalcogs</t>
  </si>
  <si>
    <t>dollPerYEARtotalcogs</t>
  </si>
  <si>
    <t>dollPerPENNYmrktg</t>
  </si>
  <si>
    <t>dollPerYEARmrktg</t>
  </si>
  <si>
    <t>Overhead</t>
  </si>
  <si>
    <t>dollPerPENNYoverhead</t>
  </si>
  <si>
    <t>dollPerYEARoverhead</t>
  </si>
  <si>
    <t>Profit</t>
  </si>
  <si>
    <t>dollPerPENNYprofit</t>
  </si>
  <si>
    <t>dollPerYEARprofit</t>
  </si>
  <si>
    <t>Gross Margin</t>
  </si>
  <si>
    <t>dollPerPENNYgmargin</t>
  </si>
  <si>
    <t>dollPerYEARgmargin</t>
  </si>
  <si>
    <t>TOTAL PRICE OF PENNY</t>
  </si>
  <si>
    <t>dollPerPENNYtotal</t>
  </si>
  <si>
    <t>dollPerYEARtotal</t>
  </si>
  <si>
    <t>CASH</t>
  </si>
  <si>
    <t>Tax Rate</t>
  </si>
  <si>
    <t>taxrate</t>
  </si>
  <si>
    <t>Discount Rate</t>
  </si>
  <si>
    <t>discrate</t>
  </si>
  <si>
    <t>IRR not additive</t>
  </si>
  <si>
    <t>IRR</t>
  </si>
  <si>
    <t>NPV additive</t>
  </si>
  <si>
    <t>NPV</t>
  </si>
  <si>
    <t>Y0</t>
  </si>
  <si>
    <t>Y1</t>
  </si>
  <si>
    <t>Y2</t>
  </si>
  <si>
    <t>basically what discrate gets an npv of 0</t>
  </si>
  <si>
    <t>Y3</t>
  </si>
  <si>
    <t>Y4</t>
  </si>
  <si>
    <t>Y5</t>
  </si>
  <si>
    <t>Y6</t>
  </si>
  <si>
    <t>Y7</t>
  </si>
  <si>
    <t>if we put discrate = irr, npv is gonna be 0</t>
  </si>
  <si>
    <t>Y8</t>
  </si>
  <si>
    <t>Y9</t>
  </si>
  <si>
    <t>Y10</t>
  </si>
  <si>
    <t>Development</t>
  </si>
  <si>
    <t>dev_cost</t>
  </si>
  <si>
    <t>Development Cost</t>
  </si>
  <si>
    <t>numTests</t>
  </si>
  <si>
    <t># of Tests</t>
  </si>
  <si>
    <t>pricePerTESTS</t>
  </si>
  <si>
    <t>$/Test</t>
  </si>
  <si>
    <t>why not 500 000 ?</t>
  </si>
  <si>
    <t>just taking taxes off</t>
  </si>
  <si>
    <t>Initial Inventory</t>
  </si>
  <si>
    <t>init_inv</t>
  </si>
  <si>
    <t>$ Total</t>
  </si>
  <si>
    <t>daysOfCoverage</t>
  </si>
  <si>
    <t>Days Coverage</t>
  </si>
  <si>
    <t>numCoins</t>
  </si>
  <si>
    <t># Coins</t>
  </si>
  <si>
    <t>pricePerPennyInventory</t>
  </si>
  <si>
    <t>$/each penny</t>
  </si>
  <si>
    <t>Startup Expenses</t>
  </si>
  <si>
    <t>startup</t>
  </si>
  <si>
    <t>daysIncrementalScrap</t>
  </si>
  <si>
    <t>Days of Incremental Scrap</t>
  </si>
  <si>
    <t>Total Increment Scrap</t>
  </si>
  <si>
    <t>pricePerPennyScrap</t>
  </si>
  <si>
    <t>Equipment Cost</t>
  </si>
  <si>
    <t>equipment_cost</t>
  </si>
  <si>
    <t>cost_per_line</t>
  </si>
  <si>
    <t>Cost / Line</t>
  </si>
  <si>
    <t>num_lines</t>
  </si>
  <si>
    <t># Lines</t>
  </si>
  <si>
    <t>taxLife</t>
  </si>
  <si>
    <t>Tax Life in Years</t>
  </si>
  <si>
    <t>=IF(@taxLife&gt;=@7, -@taxrate*@equipment_cost/@taxLife,0)</t>
  </si>
  <si>
    <t>equipInvest</t>
  </si>
  <si>
    <t>Return on Investment</t>
  </si>
  <si>
    <t>RevLife</t>
  </si>
  <si>
    <t>Life Years</t>
  </si>
  <si>
    <t>materials</t>
  </si>
  <si>
    <t>$/prod</t>
  </si>
  <si>
    <t>Option Name</t>
  </si>
  <si>
    <t>Volume</t>
  </si>
  <si>
    <t>volume</t>
  </si>
  <si>
    <t xml:space="preserve">     Customer Materials</t>
  </si>
  <si>
    <t>cust_matl1</t>
  </si>
  <si>
    <t>proc_matl1</t>
  </si>
  <si>
    <t>rel_matl1</t>
  </si>
  <si>
    <t xml:space="preserve">      Logistics</t>
  </si>
  <si>
    <t xml:space="preserve">     Credits</t>
  </si>
  <si>
    <t xml:space="preserve">     Other Charges</t>
  </si>
  <si>
    <t xml:space="preserve">     Process Materials</t>
  </si>
  <si>
    <t xml:space="preserve">     Reliability Materials</t>
  </si>
  <si>
    <t>log_matl1</t>
  </si>
  <si>
    <t>cred_matl1</t>
  </si>
  <si>
    <t>other_matl1</t>
  </si>
  <si>
    <t xml:space="preserve">     Assumed Supplier Gross Margin</t>
  </si>
  <si>
    <t xml:space="preserve">     Supplier Price Includes</t>
  </si>
  <si>
    <t>%</t>
  </si>
  <si>
    <t>$/yr</t>
  </si>
  <si>
    <t>supPrice_matl1</t>
  </si>
  <si>
    <t>assumedSupplGM_matl1</t>
  </si>
  <si>
    <t>Material 1 - Cu</t>
  </si>
  <si>
    <t>Material 2 - Zn</t>
  </si>
  <si>
    <t>assumedSupplGM_matl2</t>
  </si>
  <si>
    <t>other_matl2</t>
  </si>
  <si>
    <t>cust_matl2</t>
  </si>
  <si>
    <t>proc_matl2</t>
  </si>
  <si>
    <t>rel_matl2</t>
  </si>
  <si>
    <t>log_matl2</t>
  </si>
  <si>
    <t>cred_matl2</t>
  </si>
  <si>
    <t xml:space="preserve">            % of Total Weight</t>
  </si>
  <si>
    <t xml:space="preserve">            $/kg</t>
  </si>
  <si>
    <t>percentTotalWeight1</t>
  </si>
  <si>
    <t>Total Weight</t>
  </si>
  <si>
    <t>totalWeight</t>
  </si>
  <si>
    <t>g/prod</t>
  </si>
  <si>
    <t>pricePerKgMatl1</t>
  </si>
  <si>
    <t>$/kg</t>
  </si>
  <si>
    <t>% Total Weight</t>
  </si>
  <si>
    <t>total_matl1</t>
  </si>
  <si>
    <t>percentTotalWeight2</t>
  </si>
  <si>
    <t>pricePerKgMatl2</t>
  </si>
  <si>
    <t>total_matl2</t>
  </si>
  <si>
    <t>Penny</t>
  </si>
  <si>
    <t xml:space="preserve">          Reliability Loss %</t>
  </si>
  <si>
    <t>p_scrap_matl1</t>
  </si>
  <si>
    <t>p_scrap_matl2</t>
  </si>
  <si>
    <t>% of Total</t>
  </si>
  <si>
    <t>Diameter</t>
  </si>
  <si>
    <t>Between Pennies End to End ©</t>
  </si>
  <si>
    <t>Outside Edge (A)</t>
  </si>
  <si>
    <t>Between Pennies Side to Side (B)</t>
  </si>
  <si>
    <t>Area of Penny</t>
  </si>
  <si>
    <t>Area Needed</t>
  </si>
  <si>
    <t>% Paid by US Mint</t>
  </si>
  <si>
    <t>% Add on For Process</t>
  </si>
  <si>
    <t>diameter</t>
  </si>
  <si>
    <t>trim_a</t>
  </si>
  <si>
    <t>trim_b</t>
  </si>
  <si>
    <t>trim_c</t>
  </si>
  <si>
    <t>area_penny</t>
  </si>
  <si>
    <t>area_need</t>
  </si>
  <si>
    <t>p_paid_usmint</t>
  </si>
  <si>
    <t>p_add_process</t>
  </si>
  <si>
    <t>mm</t>
  </si>
  <si>
    <t>mm^2</t>
  </si>
  <si>
    <t>% Add on of Penny</t>
  </si>
  <si>
    <t xml:space="preserve">      Amount per Shipment</t>
  </si>
  <si>
    <t xml:space="preserve">     Cost for Shipment</t>
  </si>
  <si>
    <t xml:space="preserve">               kg/shipment</t>
  </si>
  <si>
    <t xml:space="preserve">               Total Weight Used</t>
  </si>
  <si>
    <t xml:space="preserve">               Variable Costs Per Distance</t>
  </si>
  <si>
    <t xml:space="preserve">               Shipment Distance</t>
  </si>
  <si>
    <t xml:space="preserve">               Fixed Costs</t>
  </si>
  <si>
    <t xml:space="preserve">               Speed</t>
  </si>
  <si>
    <t xml:space="preserve">               Days</t>
  </si>
  <si>
    <t>amount_ship_matl1</t>
  </si>
  <si>
    <t>prod/shipment</t>
  </si>
  <si>
    <t>kg_ship_matl1</t>
  </si>
  <si>
    <t>kg</t>
  </si>
  <si>
    <t>total_wt_matl1_w_scrap</t>
  </si>
  <si>
    <t>cost_ship_matl1</t>
  </si>
  <si>
    <t>$/shipment</t>
  </si>
  <si>
    <t>$/km</t>
  </si>
  <si>
    <t>variable_ship_matl1</t>
  </si>
  <si>
    <t>km_ship_matl1</t>
  </si>
  <si>
    <t>km</t>
  </si>
  <si>
    <t>fixed_ship_matl1</t>
  </si>
  <si>
    <t>$/day</t>
  </si>
  <si>
    <t>speed_ship_matl1</t>
  </si>
  <si>
    <t>km/hr</t>
  </si>
  <si>
    <t>days_ship_matl1</t>
  </si>
  <si>
    <t># of days</t>
  </si>
  <si>
    <t>% of TotalCost</t>
  </si>
  <si>
    <t xml:space="preserve">            % of Recycle Credits</t>
  </si>
  <si>
    <t>p_Recycle_Credits</t>
  </si>
  <si>
    <t>% Recycle Credits</t>
  </si>
  <si>
    <t xml:space="preserve">            Customs/Duties</t>
  </si>
  <si>
    <t>customs_duties_matl1</t>
  </si>
  <si>
    <t xml:space="preserve">            Sales/VAT</t>
  </si>
  <si>
    <t xml:space="preserve">            Gross Recycle Credits</t>
  </si>
  <si>
    <t>gross_recycle_credits</t>
  </si>
  <si>
    <t>sales_vat_matl1</t>
  </si>
  <si>
    <t>carbon_tax_matl1</t>
  </si>
  <si>
    <t>kWh_penny_matl1</t>
  </si>
  <si>
    <t xml:space="preserve">                 BTU / ton copper</t>
  </si>
  <si>
    <t>BTU_ton_matl1</t>
  </si>
  <si>
    <t>kWh_ton_matl1</t>
  </si>
  <si>
    <t xml:space="preserve">                 kWh / ton copper</t>
  </si>
  <si>
    <t>kWh/penny</t>
  </si>
  <si>
    <t>kWh/ton</t>
  </si>
  <si>
    <t>BTU/ton</t>
  </si>
  <si>
    <t>mass_CO2_pkWh_matl1</t>
  </si>
  <si>
    <t>ton CO2/kWh</t>
  </si>
  <si>
    <t xml:space="preserve">                $ / ton CO2 (carbon tax)</t>
  </si>
  <si>
    <t>$/ton</t>
  </si>
  <si>
    <t>carbon_tax_per_tonCO2_matl1</t>
  </si>
  <si>
    <t>mass_CO2_pkWh_matl2</t>
  </si>
  <si>
    <t xml:space="preserve">                 kWh / ton zinc</t>
  </si>
  <si>
    <t xml:space="preserve">                kWh/penny zinc</t>
  </si>
  <si>
    <t>customs_duties_matl2</t>
  </si>
  <si>
    <t>sales_vat_matl2</t>
  </si>
  <si>
    <t>carbon_tax_matl2</t>
  </si>
  <si>
    <t>kWh_ton_matl2</t>
  </si>
  <si>
    <t>kWh_penny_matl2</t>
  </si>
  <si>
    <t xml:space="preserve">                CO2 / kWh for 1 ton of zinc </t>
  </si>
  <si>
    <t xml:space="preserve">            Mass of Zn in a penny</t>
  </si>
  <si>
    <t>mass_matl2_in1penny</t>
  </si>
  <si>
    <t>g</t>
  </si>
  <si>
    <t xml:space="preserve">            Mass of Cu in a penny</t>
  </si>
  <si>
    <t>mass_matl1_in1penny</t>
  </si>
  <si>
    <t>What is a carbon tax? | Tax Policy Center</t>
  </si>
  <si>
    <t>carbon_tax_perTonCO2_matl2</t>
  </si>
  <si>
    <t>Frequently Asked Questions (FAQs) - U.S. Energy Information Administration (EIA)</t>
  </si>
  <si>
    <t>Current Energy Requirements in the Copper Producing Industries | JOM (springer.com)</t>
  </si>
  <si>
    <t>??</t>
  </si>
  <si>
    <t xml:space="preserve">           % of Recycle Credits</t>
  </si>
  <si>
    <t xml:space="preserve">           Gross Recycle Credits</t>
  </si>
  <si>
    <t>The commodity Zinc - everything you need to know about zinc (agiboo.com)</t>
  </si>
  <si>
    <t>MOQ_losses_matl2</t>
  </si>
  <si>
    <t xml:space="preserve">          MOQ Losses</t>
  </si>
  <si>
    <t>MOQ_losses_matl1</t>
  </si>
  <si>
    <t>logistics</t>
  </si>
  <si>
    <t>logistics_matl1</t>
  </si>
  <si>
    <t>logistics_matl2</t>
  </si>
  <si>
    <t>amount_ship_matl2</t>
  </si>
  <si>
    <t>kg_ship_matl2</t>
  </si>
  <si>
    <t>total_wt_matl2_w_scrap</t>
  </si>
  <si>
    <t>cost_ship_matl2</t>
  </si>
  <si>
    <t>variable_ship_matl2</t>
  </si>
  <si>
    <t>km_ship_matl2</t>
  </si>
  <si>
    <t>fixed_ship_matl2</t>
  </si>
  <si>
    <t>speed_ship_matl2</t>
  </si>
  <si>
    <t>days_ship_matl2</t>
  </si>
  <si>
    <t xml:space="preserve">     Staffing</t>
  </si>
  <si>
    <t xml:space="preserve">           # of Crews Needed</t>
  </si>
  <si>
    <t xml:space="preserve">          # of People Needed Per Crew</t>
  </si>
  <si>
    <t xml:space="preserve">               Online</t>
  </si>
  <si>
    <t xml:space="preserve">               QA</t>
  </si>
  <si>
    <t xml:space="preserve">          How Much Does Each Person Cost ?</t>
  </si>
  <si>
    <t xml:space="preserve">               Base Wages</t>
  </si>
  <si>
    <t xml:space="preserve">               Benefits</t>
  </si>
  <si>
    <t>crews</t>
  </si>
  <si>
    <t>staffing</t>
  </si>
  <si>
    <t>online</t>
  </si>
  <si>
    <t>offline</t>
  </si>
  <si>
    <t>qa</t>
  </si>
  <si>
    <t>costPerPerson</t>
  </si>
  <si>
    <t>benefits</t>
  </si>
  <si>
    <t>$/Line in 1 year</t>
  </si>
  <si>
    <t># of Crews</t>
  </si>
  <si>
    <t># per crew</t>
  </si>
  <si>
    <t>$/each</t>
  </si>
  <si>
    <t>$</t>
  </si>
  <si>
    <t>wages</t>
  </si>
  <si>
    <t xml:space="preserve">               Offline</t>
  </si>
  <si>
    <t>numPerCrew</t>
  </si>
  <si>
    <t xml:space="preserve">     Depreciation</t>
  </si>
  <si>
    <t>totalDeprPerLineYear</t>
  </si>
  <si>
    <t xml:space="preserve">               Cost Per Line</t>
  </si>
  <si>
    <t xml:space="preserve">               Life of Equipment </t>
  </si>
  <si>
    <t>equipCostPerYear</t>
  </si>
  <si>
    <t>costPerLine</t>
  </si>
  <si>
    <t>lifeOfEquipment</t>
  </si>
  <si>
    <t>buildingCostPerYear</t>
  </si>
  <si>
    <t>costForAllLines</t>
  </si>
  <si>
    <t>lifeOfBuilding</t>
  </si>
  <si>
    <t>$/line</t>
  </si>
  <si>
    <t>years</t>
  </si>
  <si>
    <t>$/all lines</t>
  </si>
  <si>
    <t>receiving_materials</t>
  </si>
  <si>
    <t>storage_racks</t>
  </si>
  <si>
    <t>loading_materials</t>
  </si>
  <si>
    <t>value_add</t>
  </si>
  <si>
    <t>packaging_consumer</t>
  </si>
  <si>
    <t>packaging_distribution</t>
  </si>
  <si>
    <t>loading_truck</t>
  </si>
  <si>
    <t>initCostOfLine</t>
  </si>
  <si>
    <t>shipping</t>
  </si>
  <si>
    <t>customs_duties</t>
  </si>
  <si>
    <t>installation</t>
  </si>
  <si>
    <t>extra_parts</t>
  </si>
  <si>
    <t>risk</t>
  </si>
  <si>
    <t>riskPercent</t>
  </si>
  <si>
    <t>preRiskCost</t>
  </si>
  <si>
    <t xml:space="preserve">                    Initial Cost of Line</t>
  </si>
  <si>
    <t xml:space="preserve">                         Value Add</t>
  </si>
  <si>
    <t xml:space="preserve">                         Receiving Materials </t>
  </si>
  <si>
    <t xml:space="preserve">                         Storage Racks</t>
  </si>
  <si>
    <t xml:space="preserve">                         Loading Materials</t>
  </si>
  <si>
    <t xml:space="preserve">                         Packaging Consumer</t>
  </si>
  <si>
    <t xml:space="preserve">                         Packaging Distribution</t>
  </si>
  <si>
    <t xml:space="preserve">                         Loading Truck</t>
  </si>
  <si>
    <t xml:space="preserve">               Shipping</t>
  </si>
  <si>
    <t xml:space="preserve">               Customs Duties</t>
  </si>
  <si>
    <t xml:space="preserve">               Installation</t>
  </si>
  <si>
    <t xml:space="preserve">               Extra Parts (Spare &amp; Change Parts)</t>
  </si>
  <si>
    <t xml:space="preserve">               Risk</t>
  </si>
  <si>
    <t xml:space="preserve">                    Pre Risk Cost</t>
  </si>
  <si>
    <t xml:space="preserve">                    Risk %</t>
  </si>
  <si>
    <t xml:space="preserve">       Equipment Cost Per Year</t>
  </si>
  <si>
    <t xml:space="preserve">     Building Cost Per Year</t>
  </si>
  <si>
    <t xml:space="preserve">          Cost for All Lines</t>
  </si>
  <si>
    <t xml:space="preserve">          Life of Building </t>
  </si>
  <si>
    <t>FIXED</t>
  </si>
  <si>
    <t>fixedmfg</t>
  </si>
  <si>
    <t>$/Line per year</t>
  </si>
  <si>
    <t xml:space="preserve">     Plant Overhead</t>
  </si>
  <si>
    <t>$/line per year</t>
  </si>
  <si>
    <t>% Of Total Manufacturing</t>
  </si>
  <si>
    <t xml:space="preserve">       Plant Manager</t>
  </si>
  <si>
    <t xml:space="preserve">       Purchasing</t>
  </si>
  <si>
    <t xml:space="preserve">       Engineering</t>
  </si>
  <si>
    <t xml:space="preserve">       Finance &amp; Accounting</t>
  </si>
  <si>
    <t xml:space="preserve">       Safety</t>
  </si>
  <si>
    <t xml:space="preserve">       QA</t>
  </si>
  <si>
    <t xml:space="preserve">       HR</t>
  </si>
  <si>
    <t>ohPerLinePerYear</t>
  </si>
  <si>
    <t>ohPerYear</t>
  </si>
  <si>
    <t>$ per year</t>
  </si>
  <si>
    <t>$/year all Lines</t>
  </si>
  <si>
    <t>plant_manager</t>
  </si>
  <si>
    <t>purchasing</t>
  </si>
  <si>
    <t>engineering</t>
  </si>
  <si>
    <t>finance_accounting</t>
  </si>
  <si>
    <t>safety</t>
  </si>
  <si>
    <t>qa_cost</t>
  </si>
  <si>
    <t>hr_cost</t>
  </si>
  <si>
    <t>manufacturing</t>
  </si>
  <si>
    <t>VARIABLE</t>
  </si>
  <si>
    <t>variablemfg</t>
  </si>
  <si>
    <t>$/unit</t>
  </si>
  <si>
    <t>$/year/Line</t>
  </si>
  <si>
    <t>$/year All Lines</t>
  </si>
  <si>
    <t xml:space="preserve">    M&amp;R</t>
  </si>
  <si>
    <t>m_and_r</t>
  </si>
  <si>
    <t xml:space="preserve">       # of Repairs Per Line Per Year</t>
  </si>
  <si>
    <t xml:space="preserve">       Frequency of Repair (MTBF)</t>
  </si>
  <si>
    <t xml:space="preserve">       Cost of Repair</t>
  </si>
  <si>
    <t>products</t>
  </si>
  <si>
    <t>$/repair</t>
  </si>
  <si>
    <t># of repairs / year</t>
  </si>
  <si>
    <t>nbOfRepairsPerYear</t>
  </si>
  <si>
    <t>frequencyOfRepairs</t>
  </si>
  <si>
    <t>costOfRepair</t>
  </si>
  <si>
    <t xml:space="preserve">    Energy</t>
  </si>
  <si>
    <t>energy</t>
  </si>
  <si>
    <t>$/line/year</t>
  </si>
  <si>
    <t xml:space="preserve">       # of kwHrs</t>
  </si>
  <si>
    <t xml:space="preserve">       kwHR/kg</t>
  </si>
  <si>
    <t xml:space="preserve">       # of Kgs</t>
  </si>
  <si>
    <t>nbOfKWHrs</t>
  </si>
  <si>
    <t>nbOfKgs</t>
  </si>
  <si>
    <t>kWHr_kg</t>
  </si>
  <si>
    <t>kWhr/kg</t>
  </si>
  <si>
    <t>kwWhrs</t>
  </si>
  <si>
    <t xml:space="preserve">       $/kWhr</t>
  </si>
  <si>
    <t>dollPerkWhr</t>
  </si>
  <si>
    <t>$/kWhr</t>
  </si>
  <si>
    <t xml:space="preserve">    Supplies</t>
  </si>
  <si>
    <t>supplies</t>
  </si>
  <si>
    <t>$/Line/year</t>
  </si>
  <si>
    <t>totalVOL</t>
  </si>
  <si>
    <t>option_name</t>
  </si>
  <si>
    <t>totalIncrementScrap</t>
  </si>
  <si>
    <t>Added Cu Material</t>
  </si>
  <si>
    <t>Staffing</t>
  </si>
  <si>
    <t xml:space="preserve">            Carbon Tax</t>
  </si>
  <si>
    <t xml:space="preserve">                 kWh/penny copper</t>
  </si>
  <si>
    <t xml:space="preserve">                 CO2 / kWh for 1 ton of copper</t>
  </si>
  <si>
    <t xml:space="preserve">                 $ / ton CO2 (carbon tax)</t>
  </si>
  <si>
    <t xml:space="preserve">           Carbon Tax</t>
  </si>
  <si>
    <t xml:space="preserve">           MOQ Losses</t>
  </si>
  <si>
    <t>% of Price</t>
  </si>
  <si>
    <t xml:space="preserve">       Product Diameter</t>
  </si>
  <si>
    <t>prodDiameter</t>
  </si>
  <si>
    <t xml:space="preserve">       Product Thickness</t>
  </si>
  <si>
    <t>prodThickness</t>
  </si>
  <si>
    <t xml:space="preserve">       Number of Products / package</t>
  </si>
  <si>
    <t>prodPerPckg</t>
  </si>
  <si>
    <t># prod/pkg</t>
  </si>
  <si>
    <t xml:space="preserve">       Package Length</t>
  </si>
  <si>
    <t>pckgPerCase</t>
  </si>
  <si>
    <t># pckgs / case</t>
  </si>
  <si>
    <t>pckgLength</t>
  </si>
  <si>
    <t xml:space="preserve">       Package Width</t>
  </si>
  <si>
    <t xml:space="preserve">       Package Height</t>
  </si>
  <si>
    <t>pckgWidth</t>
  </si>
  <si>
    <t>pckgHeight</t>
  </si>
  <si>
    <t xml:space="preserve">       Package Mass</t>
  </si>
  <si>
    <t>pckgMass</t>
  </si>
  <si>
    <t xml:space="preserve">       Package Weight (lbs)</t>
  </si>
  <si>
    <t>lbs</t>
  </si>
  <si>
    <t xml:space="preserve">       Outer Package</t>
  </si>
  <si>
    <t xml:space="preserve">    Dimensions</t>
  </si>
  <si>
    <t>dimensions</t>
  </si>
  <si>
    <t xml:space="preserve">    Total Warehouse</t>
  </si>
  <si>
    <t>warehouse</t>
  </si>
  <si>
    <t>mfgWarehouse</t>
  </si>
  <si>
    <t xml:space="preserve">                Annual Cost</t>
  </si>
  <si>
    <t>annualCost</t>
  </si>
  <si>
    <t xml:space="preserve">                Number of Years</t>
  </si>
  <si>
    <t>nbYearsWarehouse</t>
  </si>
  <si>
    <t xml:space="preserve">    Transportation</t>
  </si>
  <si>
    <t>transportation</t>
  </si>
  <si>
    <t xml:space="preserve">      MFG To Port</t>
  </si>
  <si>
    <t>mfgToPort</t>
  </si>
  <si>
    <t xml:space="preserve">                       Max Cube</t>
  </si>
  <si>
    <t xml:space="preserve">                             % fill</t>
  </si>
  <si>
    <t xml:space="preserve">                Quantity on Shipment</t>
  </si>
  <si>
    <t>qtyOnShipment</t>
  </si>
  <si>
    <t>maxCube</t>
  </si>
  <si>
    <t>percentageFill</t>
  </si>
  <si>
    <t>m3</t>
  </si>
  <si>
    <t># of prods</t>
  </si>
  <si>
    <t xml:space="preserve">                             # of Products</t>
  </si>
  <si>
    <t xml:space="preserve">                       Max Weight</t>
  </si>
  <si>
    <t>maxWeight</t>
  </si>
  <si>
    <t xml:space="preserve">                Total Cost of Trip</t>
  </si>
  <si>
    <t>totalCostOfTrip</t>
  </si>
  <si>
    <t>$/trip</t>
  </si>
  <si>
    <t xml:space="preserve">                       Cost Per Mile</t>
  </si>
  <si>
    <t>costPerMile</t>
  </si>
  <si>
    <t>$/mile</t>
  </si>
  <si>
    <t xml:space="preserve">                Gross Margin</t>
  </si>
  <si>
    <t>gmTransportation</t>
  </si>
  <si>
    <t xml:space="preserve">                Fixed Costs</t>
  </si>
  <si>
    <t>fixedCostsTransportation</t>
  </si>
  <si>
    <t xml:space="preserve">                       # of Days</t>
  </si>
  <si>
    <t># of Days</t>
  </si>
  <si>
    <t xml:space="preserve">                       Cost Per Day</t>
  </si>
  <si>
    <t xml:space="preserve">                             Equipment</t>
  </si>
  <si>
    <t>equipTransportation</t>
  </si>
  <si>
    <t>$/truck/day</t>
  </si>
  <si>
    <t xml:space="preserve">                                     Cost of Truck</t>
  </si>
  <si>
    <t xml:space="preserve">                                     Depreciation Life</t>
  </si>
  <si>
    <t>costOfTruck</t>
  </si>
  <si>
    <t>depreciationLife</t>
  </si>
  <si>
    <t># of years</t>
  </si>
  <si>
    <t xml:space="preserve">                             Staffing</t>
  </si>
  <si>
    <t xml:space="preserve">                                     Hours Per Day</t>
  </si>
  <si>
    <t xml:space="preserve">                                     Hourly Rate (with Benefits)</t>
  </si>
  <si>
    <t xml:space="preserve">                At Manufacturing</t>
  </si>
  <si>
    <t>$ Build</t>
  </si>
  <si>
    <t xml:space="preserve">                       Space</t>
  </si>
  <si>
    <t>m2</t>
  </si>
  <si>
    <t xml:space="preserve">                       # of Stacks</t>
  </si>
  <si>
    <t xml:space="preserve">                       Max Stack</t>
  </si>
  <si>
    <t xml:space="preserve">                              Max Stack</t>
  </si>
  <si>
    <t xml:space="preserve">                       Quantity of Products</t>
  </si>
  <si>
    <t xml:space="preserve">                              Days of Production</t>
  </si>
  <si>
    <t xml:space="preserve">                       $/m2</t>
  </si>
  <si>
    <t>$/m2</t>
  </si>
  <si>
    <t xml:space="preserve">        Manufacturing Warehouse</t>
  </si>
  <si>
    <t xml:space="preserve">        At Regional Distribution Center</t>
  </si>
  <si>
    <t xml:space="preserve">        At Local Distribution Center</t>
  </si>
  <si>
    <t>RegionalDCwarehouse</t>
  </si>
  <si>
    <t>LocalDCwarehouse</t>
  </si>
  <si>
    <t>qtyOfProdsWarehouse</t>
  </si>
  <si>
    <t>mmMaxStack</t>
  </si>
  <si>
    <t>nbMaxStack</t>
  </si>
  <si>
    <t>daysOfProductionWarehouse</t>
  </si>
  <si>
    <t>nbOfStacksWarehouse</t>
  </si>
  <si>
    <t>atManufacturingWarehouse</t>
  </si>
  <si>
    <t>spaceWarehouse</t>
  </si>
  <si>
    <t>price.mm2Warehouse</t>
  </si>
  <si>
    <t xml:space="preserve">                Variable Costs</t>
  </si>
  <si>
    <t xml:space="preserve">                       Fuel</t>
  </si>
  <si>
    <t xml:space="preserve">                             Miles</t>
  </si>
  <si>
    <t xml:space="preserve">                             $/gallon</t>
  </si>
  <si>
    <t xml:space="preserve">                             miles/gallon</t>
  </si>
  <si>
    <t xml:space="preserve">                       Tires</t>
  </si>
  <si>
    <t xml:space="preserve">                             Cost Per Tire</t>
  </si>
  <si>
    <t xml:space="preserve">                             # of Tires</t>
  </si>
  <si>
    <t xml:space="preserve">                             Mileage Per Tire</t>
  </si>
  <si>
    <t xml:space="preserve">                       Other Maintenance Per Mile</t>
  </si>
  <si>
    <t>otherMaintenancePerMile</t>
  </si>
  <si>
    <t>mileagePerTire</t>
  </si>
  <si>
    <t>mile/tire</t>
  </si>
  <si>
    <t>numberOfTires</t>
  </si>
  <si>
    <t># of tires</t>
  </si>
  <si>
    <t>costPerTire</t>
  </si>
  <si>
    <t>$/tire</t>
  </si>
  <si>
    <t>nbOfMiles</t>
  </si>
  <si>
    <t>milesPerGallon</t>
  </si>
  <si>
    <t>pricePerGallon</t>
  </si>
  <si>
    <t>$/gal</t>
  </si>
  <si>
    <t>miles/gal</t>
  </si>
  <si>
    <t>miles</t>
  </si>
  <si>
    <t>tires</t>
  </si>
  <si>
    <t>fuel</t>
  </si>
  <si>
    <t>variableCostsTransportation</t>
  </si>
  <si>
    <t xml:space="preserve">                       Insurance Cost Per Day</t>
  </si>
  <si>
    <t>hoursPerDay</t>
  </si>
  <si>
    <t>hrs/day</t>
  </si>
  <si>
    <t>hourlyRate</t>
  </si>
  <si>
    <t>$/hr</t>
  </si>
  <si>
    <t>insuranceCostPerDay</t>
  </si>
  <si>
    <t>staffingTransportation</t>
  </si>
  <si>
    <t>nbOfDaysTransportation</t>
  </si>
  <si>
    <t>30/K223</t>
  </si>
  <si>
    <t>30/ 2 warehous</t>
  </si>
  <si>
    <t>nbOfProductsCube</t>
  </si>
  <si>
    <t>nbOfProductsWeight</t>
  </si>
  <si>
    <t>pckgWeight</t>
  </si>
  <si>
    <t xml:space="preserve">    Other Fees</t>
  </si>
  <si>
    <t xml:space="preserve">      Clearing Fees</t>
  </si>
  <si>
    <t>clearingFees</t>
  </si>
  <si>
    <t xml:space="preserve">      Duties/Customs</t>
  </si>
  <si>
    <t>percentDuty</t>
  </si>
  <si>
    <t>dutiesPerCustoms</t>
  </si>
  <si>
    <t xml:space="preserve">                % Duty</t>
  </si>
  <si>
    <t xml:space="preserve">                Cost Duty is On</t>
  </si>
  <si>
    <t>costDutyIsOn</t>
  </si>
  <si>
    <t>otherFees</t>
  </si>
  <si>
    <t xml:space="preserve">      Port To Port</t>
  </si>
  <si>
    <t xml:space="preserve">      Port To Regional DC</t>
  </si>
  <si>
    <t xml:space="preserve">      Regional DC to Local DC</t>
  </si>
  <si>
    <t xml:space="preserve">      Last Mile</t>
  </si>
  <si>
    <t>lastMile</t>
  </si>
  <si>
    <t>regDCtoLocDC</t>
  </si>
  <si>
    <t>portToRegDC</t>
  </si>
  <si>
    <t>portToPort</t>
  </si>
  <si>
    <t>. =mat+mfg</t>
  </si>
  <si>
    <t>before = dollPerPennytotalcogs</t>
  </si>
  <si>
    <t>before = @volREPEAT*@daysOfCoverage/365</t>
  </si>
  <si>
    <t>5mm extra tolerance</t>
  </si>
  <si>
    <t xml:space="preserve">I connected the price of the </t>
  </si>
  <si>
    <t>warehouse to the "Initial Inventory"</t>
  </si>
  <si>
    <t xml:space="preserve">However, nothing changes for </t>
  </si>
  <si>
    <t xml:space="preserve">the warehouse cost since </t>
  </si>
  <si>
    <t>productsPerCase only</t>
  </si>
  <si>
    <t>modifies the transportation cost</t>
  </si>
  <si>
    <t>Increase prod rate x1.5</t>
  </si>
  <si>
    <t>Offset Transportation 2x</t>
  </si>
  <si>
    <t>I do not understand the question.</t>
  </si>
  <si>
    <t>How much more warehouse</t>
  </si>
  <si>
    <t>space would we need for what ?</t>
  </si>
  <si>
    <t>Goal seek on the number</t>
  </si>
  <si>
    <t>of lines with a target value</t>
  </si>
  <si>
    <t xml:space="preserve"> equals 2x trasnportation cost</t>
  </si>
  <si>
    <t>but doesn't work</t>
  </si>
  <si>
    <t>200,000 Equipment</t>
  </si>
  <si>
    <t>Amount of CU for 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</si>
</sst>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-* #,##0.00_-;\-* #,##0.00_-;_-* &quot;-&quot;??_-;_-@_-"/>
    <numFmt numFmtId="164" formatCode="0.0%"/>
    <numFmt numFmtId="165" formatCode="0.0000"/>
    <numFmt numFmtId="166" formatCode="#,##0.0000"/>
    <numFmt numFmtId="167" formatCode="0.0"/>
    <numFmt numFmtId="168" formatCode="0.000"/>
    <numFmt numFmtId="169" formatCode="_-* #,##0.0000_-;\-* #,##0.0000_-;_-* &quot;-&quot;??_-;_-@_-"/>
    <numFmt numFmtId="170" formatCode="[$$-409]#,##0.00"/>
    <numFmt numFmtId="171" formatCode="0.000000"/>
    <numFmt numFmtId="172" formatCode="0.0000000000"/>
    <numFmt numFmtId="173" formatCode="_-[$$-409]* #,##0.00_ ;_-[$$-409]* \-#,##0.00\ ;_-[$$-409]* &quot;-&quot;??_ ;_-@_ "/>
    <numFmt numFmtId="174" formatCode="[$$-409]#,##0.0000"/>
    <numFmt numFmtId="175" formatCode="[$$-409]#,##0.00000"/>
    <numFmt numFmtId="176" formatCode="0.00000"/>
    <numFmt numFmtId="177" formatCode="[$$-409]#,##0.000000"/>
    <numFmt numFmtId="178" formatCode="[$$-409]#,##0.0000000"/>
    <numFmt numFmtId="179" formatCode="0.000%"/>
    <numFmt numFmtId="180" formatCode="[$$-409]#,##0.000"/>
    <numFmt numFmtId="181" formatCode="[$$-409]#,##0.00_ ;\-[$$-409]#,##0.00\ "/>
    <numFmt numFmtId="182" formatCode="#,##0.00_ ;\-#,##0.00\ "/>
    <numFmt numFmtId="183" formatCode="#,##0.000000"/>
    <numFmt numFmtId="184" formatCode="General\ &quot;prod/pkg&quot;"/>
    <numFmt numFmtId="185" formatCode="General\ &quot;pckgs/case&quot;"/>
    <numFmt numFmtId="186" formatCode="General\ &quot;m^3&quot;"/>
    <numFmt numFmtId="187" formatCode="General\ &quot;days&quot;"/>
    <numFmt numFmtId="188" formatCode="General\ &quot;years&quot;"/>
    <numFmt numFmtId="189" formatCode="&quot;$&quot;General\ &quot;/mile&quot;"/>
    <numFmt numFmtId="190" formatCode="General\ &quot;miles&quot;"/>
    <numFmt numFmtId="191" formatCode="&quot;$&quot;\ General\ &quot;/tire&quot;"/>
    <numFmt numFmtId="192" formatCode="General\ &quot;hrs/day&quot;"/>
    <numFmt numFmtId="193" formatCode="&quot;$&quot;General\ &quot;/hr&quot;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sz val="11"/>
      <color rgb="FFFF505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FF505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i/>
      <sz val="1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365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4" fillId="2" borderId="1" xfId="2" applyNumberFormat="1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4" fontId="7" fillId="7" borderId="2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4" fontId="3" fillId="8" borderId="2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6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6" fillId="6" borderId="1" xfId="2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0" fontId="6" fillId="6" borderId="1" xfId="2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0" fontId="3" fillId="8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0" fontId="6" fillId="2" borderId="1" xfId="2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" fontId="0" fillId="10" borderId="0" xfId="0" applyNumberForma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43" fontId="8" fillId="0" borderId="0" xfId="1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10" fontId="0" fillId="8" borderId="1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65" fontId="2" fillId="11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0" fontId="0" fillId="8" borderId="1" xfId="2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 vertical="center"/>
    </xf>
    <xf numFmtId="166" fontId="2" fillId="12" borderId="0" xfId="0" applyNumberFormat="1" applyFont="1" applyFill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4" fontId="0" fillId="14" borderId="0" xfId="0" applyNumberFormat="1" applyFill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9" fontId="3" fillId="3" borderId="1" xfId="2" applyFont="1" applyFill="1" applyBorder="1" applyAlignment="1">
      <alignment horizontal="center" vertical="center"/>
    </xf>
    <xf numFmtId="170" fontId="3" fillId="3" borderId="1" xfId="0" applyNumberFormat="1" applyFont="1" applyFill="1" applyBorder="1" applyAlignment="1">
      <alignment horizontal="center" vertical="center"/>
    </xf>
    <xf numFmtId="170" fontId="0" fillId="3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3" fontId="6" fillId="8" borderId="1" xfId="0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2" fontId="0" fillId="2" borderId="1" xfId="0" applyNumberFormat="1" applyFill="1" applyBorder="1" applyAlignment="1">
      <alignment horizontal="center" vertical="center"/>
    </xf>
    <xf numFmtId="170" fontId="0" fillId="8" borderId="1" xfId="0" applyNumberForma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" fontId="0" fillId="9" borderId="1" xfId="0" applyNumberForma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7" fontId="3" fillId="2" borderId="8" xfId="0" applyNumberFormat="1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165" fontId="3" fillId="8" borderId="2" xfId="0" applyNumberFormat="1" applyFont="1" applyFill="1" applyBorder="1" applyAlignment="1">
      <alignment horizontal="center" vertical="center"/>
    </xf>
    <xf numFmtId="0" fontId="0" fillId="15" borderId="0" xfId="0" applyFill="1" applyAlignment="1">
      <alignment horizontal="left" vertical="center"/>
    </xf>
    <xf numFmtId="10" fontId="16" fillId="0" borderId="0" xfId="2" applyNumberFormat="1" applyFont="1" applyFill="1" applyBorder="1" applyAlignment="1">
      <alignment horizontal="center" vertical="center"/>
    </xf>
    <xf numFmtId="164" fontId="17" fillId="0" borderId="0" xfId="2" applyNumberFormat="1" applyFont="1" applyAlignment="1">
      <alignment horizontal="center" vertical="center"/>
    </xf>
    <xf numFmtId="170" fontId="18" fillId="16" borderId="0" xfId="0" applyNumberFormat="1" applyFont="1" applyFill="1" applyAlignment="1">
      <alignment horizontal="center" vertical="center"/>
    </xf>
    <xf numFmtId="166" fontId="3" fillId="6" borderId="12" xfId="0" applyNumberFormat="1" applyFont="1" applyFill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3" fillId="8" borderId="0" xfId="0" applyNumberFormat="1" applyFont="1" applyFill="1" applyAlignment="1">
      <alignment horizontal="center" vertical="center"/>
    </xf>
    <xf numFmtId="170" fontId="1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7" fontId="3" fillId="2" borderId="9" xfId="0" applyNumberFormat="1" applyFont="1" applyFill="1" applyBorder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21" fillId="0" borderId="0" xfId="0" applyFont="1" applyAlignment="1">
      <alignment horizontal="right" vertical="center"/>
    </xf>
    <xf numFmtId="168" fontId="3" fillId="5" borderId="0" xfId="0" applyNumberFormat="1" applyFon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70" fontId="16" fillId="0" borderId="0" xfId="0" applyNumberFormat="1" applyFont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64" fontId="16" fillId="16" borderId="0" xfId="2" applyNumberFormat="1" applyFont="1" applyFill="1" applyAlignment="1">
      <alignment horizontal="center" vertical="center"/>
    </xf>
    <xf numFmtId="2" fontId="18" fillId="16" borderId="0" xfId="0" applyNumberFormat="1" applyFont="1" applyFill="1" applyAlignment="1">
      <alignment horizontal="center" vertical="center"/>
    </xf>
    <xf numFmtId="10" fontId="18" fillId="16" borderId="0" xfId="1" applyNumberFormat="1" applyFont="1" applyFill="1" applyBorder="1" applyAlignment="1">
      <alignment horizontal="center" vertical="center"/>
    </xf>
    <xf numFmtId="10" fontId="3" fillId="5" borderId="0" xfId="0" applyNumberFormat="1" applyFont="1" applyFill="1" applyAlignment="1">
      <alignment horizontal="center" vertical="center"/>
    </xf>
    <xf numFmtId="170" fontId="18" fillId="5" borderId="0" xfId="0" applyNumberFormat="1" applyFont="1" applyFill="1" applyAlignment="1">
      <alignment horizontal="center" vertical="center"/>
    </xf>
    <xf numFmtId="170" fontId="6" fillId="16" borderId="0" xfId="0" applyNumberFormat="1" applyFont="1" applyFill="1" applyAlignment="1">
      <alignment horizontal="center" vertical="center"/>
    </xf>
    <xf numFmtId="174" fontId="7" fillId="16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18" fillId="16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right" vertical="center"/>
    </xf>
    <xf numFmtId="170" fontId="18" fillId="16" borderId="11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6" fillId="2" borderId="13" xfId="2" applyNumberFormat="1" applyFont="1" applyFill="1" applyBorder="1" applyAlignment="1">
      <alignment horizontal="center" vertical="center"/>
    </xf>
    <xf numFmtId="43" fontId="3" fillId="2" borderId="10" xfId="1" applyFont="1" applyFill="1" applyBorder="1" applyAlignment="1">
      <alignment horizontal="center" vertical="center"/>
    </xf>
    <xf numFmtId="171" fontId="16" fillId="18" borderId="0" xfId="0" applyNumberFormat="1" applyFont="1" applyFill="1" applyAlignment="1">
      <alignment horizontal="center" vertical="center"/>
    </xf>
    <xf numFmtId="0" fontId="24" fillId="0" borderId="0" xfId="3"/>
    <xf numFmtId="174" fontId="18" fillId="7" borderId="1" xfId="0" applyNumberFormat="1" applyFont="1" applyFill="1" applyBorder="1" applyAlignment="1">
      <alignment horizontal="center" vertical="center"/>
    </xf>
    <xf numFmtId="170" fontId="16" fillId="7" borderId="1" xfId="0" applyNumberFormat="1" applyFont="1" applyFill="1" applyBorder="1" applyAlignment="1">
      <alignment horizontal="center" vertical="center"/>
    </xf>
    <xf numFmtId="164" fontId="3" fillId="0" borderId="2" xfId="2" applyNumberFormat="1" applyFont="1" applyFill="1" applyBorder="1" applyAlignment="1">
      <alignment horizontal="center" vertical="center"/>
    </xf>
    <xf numFmtId="164" fontId="16" fillId="0" borderId="0" xfId="2" applyNumberFormat="1" applyFont="1" applyFill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2" fontId="20" fillId="19" borderId="0" xfId="0" applyNumberFormat="1" applyFont="1" applyFill="1" applyAlignment="1">
      <alignment horizontal="center" vertical="center"/>
    </xf>
    <xf numFmtId="170" fontId="18" fillId="19" borderId="0" xfId="0" applyNumberFormat="1" applyFont="1" applyFill="1" applyAlignment="1">
      <alignment horizontal="center" vertical="center"/>
    </xf>
    <xf numFmtId="2" fontId="15" fillId="19" borderId="0" xfId="0" applyNumberFormat="1" applyFont="1" applyFill="1" applyAlignment="1">
      <alignment horizontal="center" vertical="center"/>
    </xf>
    <xf numFmtId="10" fontId="16" fillId="19" borderId="0" xfId="0" applyNumberFormat="1" applyFont="1" applyFill="1" applyAlignment="1">
      <alignment horizontal="center" vertical="center"/>
    </xf>
    <xf numFmtId="170" fontId="16" fillId="19" borderId="0" xfId="0" applyNumberFormat="1" applyFont="1" applyFill="1" applyAlignment="1">
      <alignment horizontal="center" vertical="center"/>
    </xf>
    <xf numFmtId="170" fontId="16" fillId="19" borderId="1" xfId="0" applyNumberFormat="1" applyFont="1" applyFill="1" applyBorder="1" applyAlignment="1">
      <alignment horizontal="center" vertical="center"/>
    </xf>
    <xf numFmtId="176" fontId="16" fillId="19" borderId="0" xfId="0" applyNumberFormat="1" applyFont="1" applyFill="1" applyAlignment="1">
      <alignment horizontal="center" vertical="center"/>
    </xf>
    <xf numFmtId="4" fontId="0" fillId="19" borderId="0" xfId="0" applyNumberFormat="1" applyFill="1" applyAlignment="1">
      <alignment horizontal="center" vertical="center"/>
    </xf>
    <xf numFmtId="10" fontId="16" fillId="16" borderId="0" xfId="0" applyNumberFormat="1" applyFont="1" applyFill="1" applyAlignment="1">
      <alignment horizontal="center" vertical="center"/>
    </xf>
    <xf numFmtId="174" fontId="16" fillId="7" borderId="1" xfId="0" applyNumberFormat="1" applyFont="1" applyFill="1" applyBorder="1" applyAlignment="1">
      <alignment horizontal="center" vertical="center"/>
    </xf>
    <xf numFmtId="175" fontId="16" fillId="7" borderId="1" xfId="0" applyNumberFormat="1" applyFont="1" applyFill="1" applyBorder="1" applyAlignment="1">
      <alignment horizontal="center" vertical="center"/>
    </xf>
    <xf numFmtId="175" fontId="16" fillId="18" borderId="0" xfId="0" applyNumberFormat="1" applyFont="1" applyFill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5" fontId="3" fillId="8" borderId="0" xfId="0" applyNumberFormat="1" applyFont="1" applyFill="1" applyAlignment="1">
      <alignment horizontal="center" vertical="center"/>
    </xf>
    <xf numFmtId="165" fontId="16" fillId="19" borderId="0" xfId="0" applyNumberFormat="1" applyFont="1" applyFill="1" applyAlignment="1">
      <alignment horizontal="center" vertical="center"/>
    </xf>
    <xf numFmtId="168" fontId="16" fillId="19" borderId="0" xfId="0" applyNumberFormat="1" applyFont="1" applyFill="1" applyAlignment="1">
      <alignment horizontal="center" vertical="center"/>
    </xf>
    <xf numFmtId="168" fontId="16" fillId="18" borderId="0" xfId="0" applyNumberFormat="1" applyFont="1" applyFill="1" applyAlignment="1">
      <alignment horizontal="center" vertical="center"/>
    </xf>
    <xf numFmtId="176" fontId="16" fillId="18" borderId="0" xfId="0" applyNumberFormat="1" applyFont="1" applyFill="1" applyAlignment="1">
      <alignment horizontal="center" vertical="center"/>
    </xf>
    <xf numFmtId="177" fontId="16" fillId="7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5" fillId="7" borderId="11" xfId="0" applyNumberFormat="1" applyFont="1" applyFill="1" applyBorder="1" applyAlignment="1">
      <alignment horizontal="center" vertical="center"/>
    </xf>
    <xf numFmtId="178" fontId="25" fillId="7" borderId="11" xfId="0" applyNumberFormat="1" applyFon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168" fontId="0" fillId="0" borderId="11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4" fontId="0" fillId="0" borderId="8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4" fontId="18" fillId="16" borderId="11" xfId="0" applyNumberFormat="1" applyFont="1" applyFill="1" applyBorder="1" applyAlignment="1">
      <alignment horizontal="center" vertical="center"/>
    </xf>
    <xf numFmtId="4" fontId="19" fillId="18" borderId="0" xfId="0" applyNumberFormat="1" applyFont="1" applyFill="1" applyAlignment="1">
      <alignment horizontal="center" vertical="center"/>
    </xf>
    <xf numFmtId="168" fontId="18" fillId="18" borderId="0" xfId="0" applyNumberFormat="1" applyFont="1" applyFill="1" applyAlignment="1">
      <alignment horizontal="center" vertical="center"/>
    </xf>
    <xf numFmtId="4" fontId="19" fillId="20" borderId="0" xfId="0" applyNumberFormat="1" applyFont="1" applyFill="1" applyAlignment="1">
      <alignment horizontal="center" vertical="center"/>
    </xf>
    <xf numFmtId="170" fontId="19" fillId="20" borderId="0" xfId="0" applyNumberFormat="1" applyFont="1" applyFill="1" applyAlignment="1">
      <alignment horizontal="center" vertical="center"/>
    </xf>
    <xf numFmtId="2" fontId="19" fillId="20" borderId="0" xfId="0" applyNumberFormat="1" applyFont="1" applyFill="1" applyAlignment="1">
      <alignment horizontal="center" vertical="center"/>
    </xf>
    <xf numFmtId="168" fontId="18" fillId="16" borderId="11" xfId="0" applyNumberFormat="1" applyFont="1" applyFill="1" applyBorder="1" applyAlignment="1">
      <alignment horizontal="center" vertical="center"/>
    </xf>
    <xf numFmtId="177" fontId="25" fillId="7" borderId="1" xfId="0" applyNumberFormat="1" applyFont="1" applyFill="1" applyBorder="1" applyAlignment="1">
      <alignment horizontal="center" vertical="center"/>
    </xf>
    <xf numFmtId="176" fontId="25" fillId="7" borderId="2" xfId="0" applyNumberFormat="1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77" fontId="3" fillId="21" borderId="1" xfId="0" applyNumberFormat="1" applyFont="1" applyFill="1" applyBorder="1" applyAlignment="1">
      <alignment horizontal="center" vertical="center"/>
    </xf>
    <xf numFmtId="174" fontId="11" fillId="21" borderId="0" xfId="0" applyNumberFormat="1" applyFont="1" applyFill="1" applyAlignment="1">
      <alignment horizontal="center" vertical="center"/>
    </xf>
    <xf numFmtId="170" fontId="3" fillId="7" borderId="0" xfId="0" applyNumberFormat="1" applyFont="1" applyFill="1" applyAlignment="1">
      <alignment horizontal="center" vertical="center"/>
    </xf>
    <xf numFmtId="179" fontId="3" fillId="7" borderId="0" xfId="0" applyNumberFormat="1" applyFont="1" applyFill="1" applyAlignment="1">
      <alignment horizontal="center" vertical="center"/>
    </xf>
    <xf numFmtId="174" fontId="3" fillId="22" borderId="1" xfId="0" applyNumberFormat="1" applyFont="1" applyFill="1" applyBorder="1" applyAlignment="1">
      <alignment horizontal="center" vertical="center"/>
    </xf>
    <xf numFmtId="170" fontId="0" fillId="6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5" fillId="17" borderId="5" xfId="0" applyFont="1" applyFill="1" applyBorder="1" applyAlignment="1">
      <alignment horizontal="left" vertical="center"/>
    </xf>
    <xf numFmtId="0" fontId="0" fillId="23" borderId="12" xfId="0" applyFill="1" applyBorder="1" applyAlignment="1">
      <alignment horizontal="left" vertical="center"/>
    </xf>
    <xf numFmtId="0" fontId="0" fillId="23" borderId="11" xfId="0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168" fontId="0" fillId="23" borderId="11" xfId="0" applyNumberFormat="1" applyFill="1" applyBorder="1" applyAlignment="1">
      <alignment horizontal="center" vertical="center"/>
    </xf>
    <xf numFmtId="10" fontId="0" fillId="23" borderId="11" xfId="0" applyNumberFormat="1" applyFill="1" applyBorder="1" applyAlignment="1">
      <alignment horizontal="center" vertical="center"/>
    </xf>
    <xf numFmtId="167" fontId="3" fillId="18" borderId="0" xfId="0" applyNumberFormat="1" applyFont="1" applyFill="1" applyAlignment="1">
      <alignment horizontal="center" vertical="center"/>
    </xf>
    <xf numFmtId="167" fontId="26" fillId="20" borderId="0" xfId="0" applyNumberFormat="1" applyFont="1" applyFill="1" applyAlignment="1">
      <alignment horizontal="center" vertical="center"/>
    </xf>
    <xf numFmtId="170" fontId="3" fillId="18" borderId="0" xfId="0" applyNumberFormat="1" applyFont="1" applyFill="1" applyAlignment="1">
      <alignment horizontal="center" vertical="center"/>
    </xf>
    <xf numFmtId="167" fontId="11" fillId="18" borderId="0" xfId="0" applyNumberFormat="1" applyFont="1" applyFill="1" applyAlignment="1">
      <alignment horizontal="center" vertical="center"/>
    </xf>
    <xf numFmtId="169" fontId="8" fillId="0" borderId="2" xfId="1" applyNumberFormat="1" applyFont="1" applyFill="1" applyBorder="1" applyAlignment="1">
      <alignment vertical="center"/>
    </xf>
    <xf numFmtId="43" fontId="0" fillId="0" borderId="2" xfId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181" fontId="11" fillId="0" borderId="0" xfId="1" applyNumberFormat="1" applyFont="1" applyFill="1" applyBorder="1" applyAlignment="1">
      <alignment horizontal="center" vertical="center"/>
    </xf>
    <xf numFmtId="181" fontId="11" fillId="16" borderId="0" xfId="1" applyNumberFormat="1" applyFont="1" applyFill="1" applyBorder="1" applyAlignment="1">
      <alignment horizontal="center" vertical="center"/>
    </xf>
    <xf numFmtId="10" fontId="19" fillId="19" borderId="0" xfId="2" applyNumberFormat="1" applyFont="1" applyFill="1" applyAlignment="1">
      <alignment horizontal="center" vertical="center"/>
    </xf>
    <xf numFmtId="169" fontId="8" fillId="0" borderId="0" xfId="1" applyNumberFormat="1" applyFont="1" applyFill="1" applyBorder="1" applyAlignment="1">
      <alignment vertical="center"/>
    </xf>
    <xf numFmtId="170" fontId="3" fillId="7" borderId="2" xfId="0" applyNumberFormat="1" applyFont="1" applyFill="1" applyBorder="1" applyAlignment="1">
      <alignment horizontal="center" vertical="center"/>
    </xf>
    <xf numFmtId="170" fontId="11" fillId="16" borderId="0" xfId="0" applyNumberFormat="1" applyFont="1" applyFill="1" applyAlignment="1">
      <alignment horizontal="center" vertical="center"/>
    </xf>
    <xf numFmtId="170" fontId="19" fillId="18" borderId="14" xfId="1" applyNumberFormat="1" applyFont="1" applyFill="1" applyBorder="1" applyAlignment="1">
      <alignment horizontal="center" vertical="center"/>
    </xf>
    <xf numFmtId="170" fontId="19" fillId="19" borderId="15" xfId="1" applyNumberFormat="1" applyFont="1" applyFill="1" applyBorder="1" applyAlignment="1">
      <alignment horizontal="center" vertical="center"/>
    </xf>
    <xf numFmtId="170" fontId="19" fillId="19" borderId="13" xfId="1" applyNumberFormat="1" applyFont="1" applyFill="1" applyBorder="1" applyAlignment="1">
      <alignment horizontal="center" vertical="center"/>
    </xf>
    <xf numFmtId="170" fontId="19" fillId="19" borderId="14" xfId="1" applyNumberFormat="1" applyFont="1" applyFill="1" applyBorder="1" applyAlignment="1">
      <alignment horizontal="center" vertical="center"/>
    </xf>
    <xf numFmtId="181" fontId="11" fillId="16" borderId="14" xfId="1" applyNumberFormat="1" applyFont="1" applyFill="1" applyBorder="1" applyAlignment="1">
      <alignment horizontal="center" vertical="center"/>
    </xf>
    <xf numFmtId="170" fontId="19" fillId="19" borderId="15" xfId="0" applyNumberFormat="1" applyFont="1" applyFill="1" applyBorder="1" applyAlignment="1">
      <alignment horizontal="center" vertical="center"/>
    </xf>
    <xf numFmtId="2" fontId="19" fillId="19" borderId="13" xfId="1" applyNumberFormat="1" applyFont="1" applyFill="1" applyBorder="1" applyAlignment="1">
      <alignment horizontal="center" vertical="center"/>
    </xf>
    <xf numFmtId="170" fontId="19" fillId="18" borderId="15" xfId="1" applyNumberFormat="1" applyFont="1" applyFill="1" applyBorder="1" applyAlignment="1">
      <alignment horizontal="center" vertical="center"/>
    </xf>
    <xf numFmtId="2" fontId="19" fillId="19" borderId="15" xfId="1" applyNumberFormat="1" applyFont="1" applyFill="1" applyBorder="1" applyAlignment="1">
      <alignment horizontal="center" vertical="center"/>
    </xf>
    <xf numFmtId="169" fontId="8" fillId="0" borderId="8" xfId="1" applyNumberFormat="1" applyFont="1" applyFill="1" applyBorder="1" applyAlignment="1">
      <alignment vertical="center"/>
    </xf>
    <xf numFmtId="2" fontId="19" fillId="0" borderId="0" xfId="1" applyNumberFormat="1" applyFont="1" applyFill="1" applyBorder="1" applyAlignment="1">
      <alignment horizontal="center" vertical="center"/>
    </xf>
    <xf numFmtId="170" fontId="19" fillId="18" borderId="1" xfId="1" applyNumberFormat="1" applyFont="1" applyFill="1" applyBorder="1" applyAlignment="1">
      <alignment horizontal="center" vertical="center"/>
    </xf>
    <xf numFmtId="170" fontId="0" fillId="8" borderId="0" xfId="0" applyNumberForma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/>
    </xf>
    <xf numFmtId="168" fontId="3" fillId="9" borderId="11" xfId="0" applyNumberFormat="1" applyFont="1" applyFill="1" applyBorder="1" applyAlignment="1">
      <alignment horizontal="center" vertical="center"/>
    </xf>
    <xf numFmtId="10" fontId="3" fillId="9" borderId="11" xfId="0" applyNumberFormat="1" applyFont="1" applyFill="1" applyBorder="1" applyAlignment="1">
      <alignment horizontal="center" vertical="center"/>
    </xf>
    <xf numFmtId="0" fontId="0" fillId="23" borderId="0" xfId="0" applyFill="1" applyAlignment="1">
      <alignment horizontal="left" vertical="center"/>
    </xf>
    <xf numFmtId="0" fontId="0" fillId="23" borderId="0" xfId="0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180" fontId="3" fillId="9" borderId="2" xfId="0" applyNumberFormat="1" applyFont="1" applyFill="1" applyBorder="1" applyAlignment="1">
      <alignment horizontal="center" vertical="center"/>
    </xf>
    <xf numFmtId="164" fontId="11" fillId="0" borderId="0" xfId="2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68" fontId="3" fillId="9" borderId="4" xfId="0" applyNumberFormat="1" applyFont="1" applyFill="1" applyBorder="1" applyAlignment="1">
      <alignment horizontal="center" vertical="center"/>
    </xf>
    <xf numFmtId="10" fontId="3" fillId="9" borderId="4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4" fontId="19" fillId="19" borderId="15" xfId="1" applyNumberFormat="1" applyFont="1" applyFill="1" applyBorder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0" fontId="19" fillId="0" borderId="0" xfId="1" applyNumberFormat="1" applyFont="1" applyFill="1" applyBorder="1" applyAlignment="1">
      <alignment horizontal="center" vertical="center"/>
    </xf>
    <xf numFmtId="167" fontId="11" fillId="16" borderId="0" xfId="1" applyNumberFormat="1" applyFont="1" applyFill="1" applyBorder="1" applyAlignment="1">
      <alignment horizontal="center" vertical="center"/>
    </xf>
    <xf numFmtId="4" fontId="19" fillId="16" borderId="15" xfId="1" applyNumberFormat="1" applyFont="1" applyFill="1" applyBorder="1" applyAlignment="1">
      <alignment horizontal="center" vertical="center"/>
    </xf>
    <xf numFmtId="182" fontId="11" fillId="16" borderId="14" xfId="1" applyNumberFormat="1" applyFont="1" applyFill="1" applyBorder="1" applyAlignment="1">
      <alignment horizontal="center" vertical="center"/>
    </xf>
    <xf numFmtId="170" fontId="3" fillId="19" borderId="2" xfId="0" applyNumberFormat="1" applyFont="1" applyFill="1" applyBorder="1" applyAlignment="1">
      <alignment horizontal="center" vertical="center"/>
    </xf>
    <xf numFmtId="180" fontId="3" fillId="7" borderId="0" xfId="0" applyNumberFormat="1" applyFont="1" applyFill="1" applyAlignment="1">
      <alignment horizontal="center" vertical="center"/>
    </xf>
    <xf numFmtId="174" fontId="3" fillId="9" borderId="8" xfId="0" applyNumberFormat="1" applyFont="1" applyFill="1" applyBorder="1" applyAlignment="1">
      <alignment horizontal="center" vertical="center"/>
    </xf>
    <xf numFmtId="9" fontId="19" fillId="19" borderId="13" xfId="2" applyFont="1" applyFill="1" applyBorder="1" applyAlignment="1">
      <alignment horizontal="center" vertical="center"/>
    </xf>
    <xf numFmtId="180" fontId="2" fillId="11" borderId="1" xfId="0" applyNumberFormat="1" applyFont="1" applyFill="1" applyBorder="1" applyAlignment="1">
      <alignment horizontal="center" vertical="center"/>
    </xf>
    <xf numFmtId="174" fontId="3" fillId="19" borderId="1" xfId="0" applyNumberFormat="1" applyFont="1" applyFill="1" applyBorder="1" applyAlignment="1">
      <alignment horizontal="center" vertical="center"/>
    </xf>
    <xf numFmtId="178" fontId="11" fillId="6" borderId="1" xfId="0" applyNumberFormat="1" applyFont="1" applyFill="1" applyBorder="1" applyAlignment="1">
      <alignment horizontal="center" vertical="center"/>
    </xf>
    <xf numFmtId="177" fontId="2" fillId="11" borderId="1" xfId="0" applyNumberFormat="1" applyFont="1" applyFill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77" fontId="3" fillId="19" borderId="1" xfId="0" applyNumberFormat="1" applyFont="1" applyFill="1" applyBorder="1" applyAlignment="1">
      <alignment horizontal="center" vertical="center"/>
    </xf>
    <xf numFmtId="175" fontId="2" fillId="12" borderId="1" xfId="0" applyNumberFormat="1" applyFont="1" applyFill="1" applyBorder="1" applyAlignment="1">
      <alignment horizontal="center" vertical="center"/>
    </xf>
    <xf numFmtId="9" fontId="19" fillId="20" borderId="0" xfId="2" applyFont="1" applyFill="1" applyAlignment="1">
      <alignment horizontal="center" vertical="center"/>
    </xf>
    <xf numFmtId="4" fontId="19" fillId="20" borderId="14" xfId="0" applyNumberFormat="1" applyFont="1" applyFill="1" applyBorder="1" applyAlignment="1">
      <alignment horizontal="center" vertical="center"/>
    </xf>
    <xf numFmtId="4" fontId="19" fillId="20" borderId="15" xfId="0" applyNumberFormat="1" applyFont="1" applyFill="1" applyBorder="1" applyAlignment="1">
      <alignment horizontal="center" vertical="center"/>
    </xf>
    <xf numFmtId="184" fontId="19" fillId="20" borderId="15" xfId="0" applyNumberFormat="1" applyFont="1" applyFill="1" applyBorder="1" applyAlignment="1">
      <alignment horizontal="center" vertical="center"/>
    </xf>
    <xf numFmtId="185" fontId="19" fillId="20" borderId="15" xfId="0" applyNumberFormat="1" applyFont="1" applyFill="1" applyBorder="1" applyAlignment="1">
      <alignment horizontal="center" vertical="center"/>
    </xf>
    <xf numFmtId="0" fontId="19" fillId="18" borderId="15" xfId="0" applyFont="1" applyFill="1" applyBorder="1" applyAlignment="1">
      <alignment horizontal="center" vertical="center"/>
    </xf>
    <xf numFmtId="0" fontId="19" fillId="16" borderId="15" xfId="0" applyFont="1" applyFill="1" applyBorder="1" applyAlignment="1">
      <alignment horizontal="center" vertical="center"/>
    </xf>
    <xf numFmtId="2" fontId="19" fillId="16" borderId="13" xfId="0" applyNumberFormat="1" applyFont="1" applyFill="1" applyBorder="1" applyAlignment="1">
      <alignment horizontal="center" vertical="center"/>
    </xf>
    <xf numFmtId="174" fontId="19" fillId="16" borderId="14" xfId="0" applyNumberFormat="1" applyFont="1" applyFill="1" applyBorder="1" applyAlignment="1">
      <alignment horizontal="center" vertical="center"/>
    </xf>
    <xf numFmtId="3" fontId="19" fillId="20" borderId="15" xfId="0" applyNumberFormat="1" applyFont="1" applyFill="1" applyBorder="1" applyAlignment="1">
      <alignment horizontal="center" vertical="center"/>
    </xf>
    <xf numFmtId="170" fontId="19" fillId="18" borderId="15" xfId="0" applyNumberFormat="1" applyFont="1" applyFill="1" applyBorder="1" applyAlignment="1">
      <alignment horizontal="center" vertical="center"/>
    </xf>
    <xf numFmtId="4" fontId="19" fillId="18" borderId="15" xfId="0" applyNumberFormat="1" applyFont="1" applyFill="1" applyBorder="1" applyAlignment="1">
      <alignment horizontal="center" vertical="center"/>
    </xf>
    <xf numFmtId="2" fontId="19" fillId="20" borderId="15" xfId="0" applyNumberFormat="1" applyFont="1" applyFill="1" applyBorder="1" applyAlignment="1">
      <alignment horizontal="center" vertical="center"/>
    </xf>
    <xf numFmtId="182" fontId="19" fillId="18" borderId="15" xfId="1" applyNumberFormat="1" applyFont="1" applyFill="1" applyBorder="1" applyAlignment="1">
      <alignment horizontal="center" vertical="center"/>
    </xf>
    <xf numFmtId="0" fontId="19" fillId="20" borderId="15" xfId="0" applyFont="1" applyFill="1" applyBorder="1" applyAlignment="1">
      <alignment horizontal="center" vertical="center"/>
    </xf>
    <xf numFmtId="170" fontId="19" fillId="20" borderId="13" xfId="0" applyNumberFormat="1" applyFont="1" applyFill="1" applyBorder="1" applyAlignment="1">
      <alignment horizontal="center" vertical="center"/>
    </xf>
    <xf numFmtId="174" fontId="19" fillId="16" borderId="1" xfId="0" applyNumberFormat="1" applyFont="1" applyFill="1" applyBorder="1" applyAlignment="1">
      <alignment horizontal="center" vertical="center"/>
    </xf>
    <xf numFmtId="170" fontId="19" fillId="18" borderId="14" xfId="0" applyNumberFormat="1" applyFont="1" applyFill="1" applyBorder="1" applyAlignment="1">
      <alignment horizontal="center" vertical="center"/>
    </xf>
    <xf numFmtId="187" fontId="19" fillId="20" borderId="15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8" fontId="19" fillId="20" borderId="15" xfId="0" applyNumberFormat="1" applyFont="1" applyFill="1" applyBorder="1" applyAlignment="1">
      <alignment horizontal="center" vertical="center"/>
    </xf>
    <xf numFmtId="192" fontId="19" fillId="20" borderId="15" xfId="0" applyNumberFormat="1" applyFont="1" applyFill="1" applyBorder="1" applyAlignment="1">
      <alignment horizontal="center" vertical="center"/>
    </xf>
    <xf numFmtId="193" fontId="19" fillId="20" borderId="15" xfId="0" applyNumberFormat="1" applyFont="1" applyFill="1" applyBorder="1" applyAlignment="1">
      <alignment horizontal="center" vertical="center"/>
    </xf>
    <xf numFmtId="170" fontId="19" fillId="18" borderId="13" xfId="0" applyNumberFormat="1" applyFont="1" applyFill="1" applyBorder="1" applyAlignment="1">
      <alignment horizontal="center" vertical="center"/>
    </xf>
    <xf numFmtId="170" fontId="19" fillId="20" borderId="15" xfId="0" applyNumberFormat="1" applyFont="1" applyFill="1" applyBorder="1" applyAlignment="1">
      <alignment horizontal="center" vertical="center"/>
    </xf>
    <xf numFmtId="191" fontId="19" fillId="20" borderId="15" xfId="0" applyNumberFormat="1" applyFont="1" applyFill="1" applyBorder="1" applyAlignment="1">
      <alignment horizontal="center" vertical="center"/>
    </xf>
    <xf numFmtId="190" fontId="19" fillId="20" borderId="15" xfId="1" applyNumberFormat="1" applyFont="1" applyFill="1" applyBorder="1" applyAlignment="1">
      <alignment horizontal="center" vertical="center"/>
    </xf>
    <xf numFmtId="189" fontId="19" fillId="20" borderId="13" xfId="0" applyNumberFormat="1" applyFont="1" applyFill="1" applyBorder="1" applyAlignment="1">
      <alignment horizontal="center" vertical="center"/>
    </xf>
    <xf numFmtId="170" fontId="19" fillId="16" borderId="1" xfId="0" applyNumberFormat="1" applyFont="1" applyFill="1" applyBorder="1" applyAlignment="1">
      <alignment horizontal="center" vertical="center"/>
    </xf>
    <xf numFmtId="174" fontId="3" fillId="0" borderId="0" xfId="0" applyNumberFormat="1" applyFont="1" applyAlignment="1">
      <alignment horizontal="center" vertical="center"/>
    </xf>
    <xf numFmtId="186" fontId="19" fillId="20" borderId="15" xfId="0" applyNumberFormat="1" applyFont="1" applyFill="1" applyBorder="1" applyAlignment="1">
      <alignment horizontal="center" vertical="center"/>
    </xf>
    <xf numFmtId="9" fontId="19" fillId="20" borderId="15" xfId="2" applyFont="1" applyFill="1" applyBorder="1" applyAlignment="1">
      <alignment horizontal="center" vertical="center"/>
    </xf>
    <xf numFmtId="3" fontId="19" fillId="18" borderId="13" xfId="0" applyNumberFormat="1" applyFont="1" applyFill="1" applyBorder="1" applyAlignment="1">
      <alignment horizontal="center" vertical="center"/>
    </xf>
    <xf numFmtId="170" fontId="19" fillId="16" borderId="14" xfId="0" applyNumberFormat="1" applyFont="1" applyFill="1" applyBorder="1" applyAlignment="1">
      <alignment horizontal="center" vertical="center"/>
    </xf>
    <xf numFmtId="9" fontId="19" fillId="20" borderId="13" xfId="2" applyFont="1" applyFill="1" applyBorder="1" applyAlignment="1">
      <alignment horizontal="center" vertical="center"/>
    </xf>
    <xf numFmtId="1" fontId="3" fillId="16" borderId="14" xfId="0" applyNumberFormat="1" applyFont="1" applyFill="1" applyBorder="1" applyAlignment="1">
      <alignment horizontal="center" vertical="center"/>
    </xf>
    <xf numFmtId="174" fontId="3" fillId="7" borderId="0" xfId="0" applyNumberFormat="1" applyFont="1" applyFill="1" applyAlignment="1">
      <alignment horizontal="center" vertical="center"/>
    </xf>
    <xf numFmtId="189" fontId="1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74" fontId="19" fillId="7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0" fontId="19" fillId="16" borderId="0" xfId="0" applyNumberFormat="1" applyFont="1" applyFill="1" applyAlignment="1">
      <alignment horizontal="center" vertical="center"/>
    </xf>
    <xf numFmtId="180" fontId="3" fillId="21" borderId="2" xfId="0" applyNumberFormat="1" applyFont="1" applyFill="1" applyBorder="1" applyAlignment="1">
      <alignment horizontal="center" vertical="center"/>
    </xf>
    <xf numFmtId="174" fontId="3" fillId="21" borderId="2" xfId="0" applyNumberFormat="1" applyFont="1" applyFill="1" applyBorder="1" applyAlignment="1">
      <alignment horizontal="center" vertical="center"/>
    </xf>
    <xf numFmtId="10" fontId="3" fillId="7" borderId="0" xfId="0" applyNumberFormat="1" applyFont="1" applyFill="1" applyAlignment="1">
      <alignment horizontal="center" vertical="center"/>
    </xf>
    <xf numFmtId="174" fontId="3" fillId="7" borderId="1" xfId="0" applyNumberFormat="1" applyFont="1" applyFill="1" applyBorder="1" applyAlignment="1">
      <alignment horizontal="center" vertical="center"/>
    </xf>
    <xf numFmtId="168" fontId="11" fillId="16" borderId="0" xfId="1" applyNumberFormat="1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0" fillId="17" borderId="5" xfId="0" applyFill="1" applyBorder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5" borderId="12" xfId="0" applyFill="1" applyBorder="1" applyAlignment="1">
      <alignment horizontal="left" vertical="center"/>
    </xf>
    <xf numFmtId="0" fontId="0" fillId="15" borderId="11" xfId="0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15" borderId="6" xfId="0" applyFill="1" applyBorder="1" applyAlignment="1">
      <alignment horizontal="left" vertical="center"/>
    </xf>
    <xf numFmtId="0" fontId="0" fillId="15" borderId="7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7" fillId="9" borderId="12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left" vertical="center"/>
    </xf>
    <xf numFmtId="0" fontId="5" fillId="17" borderId="4" xfId="0" applyFont="1" applyFill="1" applyBorder="1" applyAlignment="1">
      <alignment horizontal="left" vertical="center"/>
    </xf>
    <xf numFmtId="0" fontId="27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17" borderId="5" xfId="0" applyFont="1" applyFill="1" applyBorder="1" applyAlignment="1">
      <alignment horizontal="left" vertical="center"/>
    </xf>
    <xf numFmtId="0" fontId="30" fillId="17" borderId="0" xfId="0" applyFont="1" applyFill="1" applyAlignment="1">
      <alignment horizontal="left" vertic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5ec05aee80ba786/Documents/SupplyChain.xlsx" TargetMode="External"/><Relationship Id="rId1" Type="http://schemas.openxmlformats.org/officeDocument/2006/relationships/externalLinkPath" Target="/Users/sacha/OneDrive/Documents/SupplyCh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  <sheetName val="Feuil2"/>
      <sheetName val="Feuil3"/>
    </sheetNames>
    <sheetDataSet>
      <sheetData sheetId="0">
        <row r="50">
          <cell r="A50" t="str">
            <v>MATERIAL COSTS</v>
          </cell>
          <cell r="C50" t="str">
            <v>dollPerPENNYmatcost</v>
          </cell>
          <cell r="D50" t="str">
            <v>$/penny</v>
          </cell>
          <cell r="E50">
            <v>8.2000000000000007E-3</v>
          </cell>
          <cell r="J50">
            <v>8.2000000000000007E-3</v>
          </cell>
          <cell r="K50">
            <v>7.7906874999999999E-3</v>
          </cell>
          <cell r="L50">
            <v>7.7906874999999999E-3</v>
          </cell>
          <cell r="M50">
            <v>7.7906874999999999E-3</v>
          </cell>
          <cell r="N50">
            <v>7.7906874999999999E-3</v>
          </cell>
          <cell r="O50">
            <v>7.7906874999999999E-3</v>
          </cell>
          <cell r="P50">
            <v>7.7906874999999999E-3</v>
          </cell>
          <cell r="Q50">
            <v>7.7906874999999999E-3</v>
          </cell>
          <cell r="R50">
            <v>7.7906874999999999E-3</v>
          </cell>
          <cell r="S50">
            <v>7.7906874999999999E-3</v>
          </cell>
        </row>
        <row r="54">
          <cell r="A54" t="str">
            <v>Total Material Mass</v>
          </cell>
          <cell r="C54" t="str">
            <v>gPerPENNY</v>
          </cell>
          <cell r="D54" t="str">
            <v>g/penny</v>
          </cell>
          <cell r="E54">
            <v>2.5</v>
          </cell>
          <cell r="K54">
            <v>2.5</v>
          </cell>
          <cell r="L54">
            <v>2.5</v>
          </cell>
          <cell r="M54">
            <v>2.5</v>
          </cell>
          <cell r="N54">
            <v>2.5</v>
          </cell>
          <cell r="O54">
            <v>2.5</v>
          </cell>
          <cell r="P54">
            <v>2.5</v>
          </cell>
          <cell r="Q54">
            <v>2.5</v>
          </cell>
          <cell r="R54">
            <v>2.5</v>
          </cell>
          <cell r="S54">
            <v>2.5</v>
          </cell>
        </row>
        <row r="55">
          <cell r="A55" t="str">
            <v>Cu</v>
          </cell>
          <cell r="C55" t="str">
            <v>dollPerTONcu</v>
          </cell>
          <cell r="D55" t="str">
            <v>$/ton</v>
          </cell>
          <cell r="E55">
            <v>6001</v>
          </cell>
          <cell r="K55">
            <v>6001</v>
          </cell>
          <cell r="L55">
            <v>6001</v>
          </cell>
          <cell r="M55">
            <v>6001</v>
          </cell>
          <cell r="N55">
            <v>6001</v>
          </cell>
          <cell r="O55">
            <v>6001</v>
          </cell>
          <cell r="P55">
            <v>6001</v>
          </cell>
          <cell r="Q55">
            <v>6001</v>
          </cell>
          <cell r="R55">
            <v>6001</v>
          </cell>
          <cell r="S55">
            <v>6001</v>
          </cell>
        </row>
        <row r="56">
          <cell r="C56" t="str">
            <v>pCu</v>
          </cell>
          <cell r="D56" t="str">
            <v>%Cu</v>
          </cell>
          <cell r="E56">
            <v>2.5000000000000001E-2</v>
          </cell>
          <cell r="K56">
            <v>2.5000000000000001E-2</v>
          </cell>
          <cell r="L56">
            <v>2.5000000000000001E-2</v>
          </cell>
          <cell r="M56">
            <v>2.5000000000000001E-2</v>
          </cell>
          <cell r="N56">
            <v>2.5000000000000001E-2</v>
          </cell>
          <cell r="O56">
            <v>2.5000000000000001E-2</v>
          </cell>
          <cell r="P56">
            <v>2.5000000000000001E-2</v>
          </cell>
          <cell r="Q56">
            <v>2.5000000000000001E-2</v>
          </cell>
          <cell r="R56">
            <v>2.5000000000000001E-2</v>
          </cell>
          <cell r="S56">
            <v>2.5000000000000001E-2</v>
          </cell>
        </row>
        <row r="57">
          <cell r="C57" t="str">
            <v>priceCuPerPENNY</v>
          </cell>
          <cell r="D57" t="str">
            <v>$Cu/penny</v>
          </cell>
          <cell r="E57">
            <v>3.7506250000000002E-4</v>
          </cell>
          <cell r="K57">
            <v>3.7506250000000002E-4</v>
          </cell>
          <cell r="L57">
            <v>3.7506250000000002E-4</v>
          </cell>
          <cell r="M57">
            <v>3.7506250000000002E-4</v>
          </cell>
          <cell r="N57">
            <v>3.7506250000000002E-4</v>
          </cell>
          <cell r="O57">
            <v>3.7506250000000002E-4</v>
          </cell>
          <cell r="P57">
            <v>3.7506250000000002E-4</v>
          </cell>
          <cell r="Q57">
            <v>3.7506250000000002E-4</v>
          </cell>
          <cell r="R57">
            <v>3.7506250000000002E-4</v>
          </cell>
          <cell r="S57">
            <v>3.7506250000000002E-4</v>
          </cell>
        </row>
        <row r="59">
          <cell r="A59" t="str">
            <v>Zn</v>
          </cell>
          <cell r="C59" t="str">
            <v>dollPerTONzn</v>
          </cell>
          <cell r="D59" t="str">
            <v>$/ton</v>
          </cell>
          <cell r="E59">
            <v>2550</v>
          </cell>
          <cell r="K59">
            <v>2550</v>
          </cell>
          <cell r="L59">
            <v>2550</v>
          </cell>
          <cell r="M59">
            <v>2550</v>
          </cell>
          <cell r="N59">
            <v>2550</v>
          </cell>
          <cell r="O59">
            <v>2550</v>
          </cell>
          <cell r="P59">
            <v>2550</v>
          </cell>
          <cell r="Q59">
            <v>2550</v>
          </cell>
          <cell r="R59">
            <v>2550</v>
          </cell>
          <cell r="S59">
            <v>2550</v>
          </cell>
        </row>
        <row r="60">
          <cell r="C60" t="str">
            <v>pZn</v>
          </cell>
          <cell r="D60" t="str">
            <v>%Zn</v>
          </cell>
          <cell r="E60">
            <v>0.97499999999999998</v>
          </cell>
          <cell r="K60">
            <v>0.97499999999999998</v>
          </cell>
          <cell r="L60">
            <v>0.97499999999999998</v>
          </cell>
          <cell r="M60">
            <v>0.97499999999999998</v>
          </cell>
          <cell r="N60">
            <v>0.97499999999999998</v>
          </cell>
          <cell r="O60">
            <v>0.97499999999999998</v>
          </cell>
          <cell r="P60">
            <v>0.97499999999999998</v>
          </cell>
          <cell r="Q60">
            <v>0.97499999999999998</v>
          </cell>
          <cell r="R60">
            <v>0.97499999999999998</v>
          </cell>
          <cell r="S60">
            <v>0.97499999999999998</v>
          </cell>
        </row>
        <row r="61">
          <cell r="C61" t="str">
            <v>priceZnPerPENNY</v>
          </cell>
          <cell r="D61" t="str">
            <v>$Zn/penny</v>
          </cell>
          <cell r="E61">
            <v>6.2156249999999998E-3</v>
          </cell>
          <cell r="K61">
            <v>6.2156249999999998E-3</v>
          </cell>
          <cell r="L61">
            <v>6.2156249999999998E-3</v>
          </cell>
          <cell r="M61">
            <v>6.2156249999999998E-3</v>
          </cell>
          <cell r="N61">
            <v>6.2156249999999998E-3</v>
          </cell>
          <cell r="O61">
            <v>6.2156249999999998E-3</v>
          </cell>
          <cell r="P61">
            <v>6.2156249999999998E-3</v>
          </cell>
          <cell r="Q61">
            <v>6.2156249999999998E-3</v>
          </cell>
          <cell r="R61">
            <v>6.2156249999999998E-3</v>
          </cell>
          <cell r="S61">
            <v>6.2156249999999998E-3</v>
          </cell>
        </row>
        <row r="63">
          <cell r="A63" t="str">
            <v>PKG - Consumer</v>
          </cell>
          <cell r="C63" t="str">
            <v>costEACHpckgcons</v>
          </cell>
          <cell r="D63" t="str">
            <v>Cost Each</v>
          </cell>
          <cell r="E63">
            <v>0.01</v>
          </cell>
          <cell r="K63">
            <v>0.01</v>
          </cell>
          <cell r="L63">
            <v>0.01</v>
          </cell>
          <cell r="M63">
            <v>0.01</v>
          </cell>
          <cell r="N63">
            <v>0.01</v>
          </cell>
          <cell r="O63">
            <v>0.01</v>
          </cell>
          <cell r="P63">
            <v>0.01</v>
          </cell>
          <cell r="Q63">
            <v>0.01</v>
          </cell>
          <cell r="R63">
            <v>0.01</v>
          </cell>
          <cell r="S63">
            <v>0.01</v>
          </cell>
        </row>
        <row r="64">
          <cell r="C64" t="str">
            <v>nbPennyEACHpckgcons</v>
          </cell>
          <cell r="D64" t="str">
            <v># Penny in Each Pckg</v>
          </cell>
          <cell r="E64">
            <v>50</v>
          </cell>
          <cell r="K64">
            <v>50</v>
          </cell>
          <cell r="L64">
            <v>50</v>
          </cell>
          <cell r="M64">
            <v>50</v>
          </cell>
          <cell r="N64">
            <v>50</v>
          </cell>
          <cell r="O64">
            <v>50</v>
          </cell>
          <cell r="P64">
            <v>50</v>
          </cell>
          <cell r="Q64">
            <v>50</v>
          </cell>
          <cell r="R64">
            <v>50</v>
          </cell>
          <cell r="S64">
            <v>50</v>
          </cell>
        </row>
        <row r="65">
          <cell r="C65" t="str">
            <v>pricePerPENNYin1pckg</v>
          </cell>
          <cell r="D65" t="str">
            <v>$ of Penny in Pckg</v>
          </cell>
          <cell r="E65">
            <v>2.0000000000000001E-4</v>
          </cell>
          <cell r="K65">
            <v>2.0000000000000001E-4</v>
          </cell>
          <cell r="L65">
            <v>2.0000000000000001E-4</v>
          </cell>
          <cell r="M65">
            <v>2.0000000000000001E-4</v>
          </cell>
          <cell r="N65">
            <v>2.0000000000000001E-4</v>
          </cell>
          <cell r="O65">
            <v>2.0000000000000001E-4</v>
          </cell>
          <cell r="P65">
            <v>2.0000000000000001E-4</v>
          </cell>
          <cell r="Q65">
            <v>2.0000000000000001E-4</v>
          </cell>
          <cell r="R65">
            <v>2.0000000000000001E-4</v>
          </cell>
          <cell r="S65">
            <v>2.0000000000000001E-4</v>
          </cell>
        </row>
        <row r="67">
          <cell r="A67" t="str">
            <v>PKG - Distribution</v>
          </cell>
          <cell r="C67" t="str">
            <v>costEACHpckgdist</v>
          </cell>
          <cell r="D67" t="str">
            <v>Cost Each</v>
          </cell>
          <cell r="E67">
            <v>0.5</v>
          </cell>
          <cell r="K67">
            <v>0.5</v>
          </cell>
          <cell r="L67">
            <v>0.5</v>
          </cell>
          <cell r="M67">
            <v>0.5</v>
          </cell>
          <cell r="N67">
            <v>0.5</v>
          </cell>
          <cell r="O67">
            <v>0.5</v>
          </cell>
          <cell r="P67">
            <v>0.5</v>
          </cell>
          <cell r="Q67">
            <v>0.5</v>
          </cell>
          <cell r="R67">
            <v>0.5</v>
          </cell>
          <cell r="S67">
            <v>0.5</v>
          </cell>
        </row>
        <row r="68">
          <cell r="C68" t="str">
            <v>nbPennyEACHpckdist</v>
          </cell>
          <cell r="D68" t="str">
            <v># Penny in EachPckg</v>
          </cell>
          <cell r="E68">
            <v>500</v>
          </cell>
          <cell r="K68">
            <v>500</v>
          </cell>
          <cell r="L68">
            <v>500</v>
          </cell>
          <cell r="M68">
            <v>500</v>
          </cell>
          <cell r="N68">
            <v>500</v>
          </cell>
          <cell r="O68">
            <v>500</v>
          </cell>
          <cell r="P68">
            <v>500</v>
          </cell>
          <cell r="Q68">
            <v>500</v>
          </cell>
          <cell r="R68">
            <v>500</v>
          </cell>
          <cell r="S68">
            <v>500</v>
          </cell>
        </row>
        <row r="69">
          <cell r="C69" t="str">
            <v>pricePerPENNYin1pckg</v>
          </cell>
          <cell r="D69" t="str">
            <v>$ of Penny in 1 Pkcg</v>
          </cell>
          <cell r="E69">
            <v>1E-3</v>
          </cell>
          <cell r="K69">
            <v>1E-3</v>
          </cell>
          <cell r="L69">
            <v>1E-3</v>
          </cell>
          <cell r="M69">
            <v>1E-3</v>
          </cell>
          <cell r="N69">
            <v>1E-3</v>
          </cell>
          <cell r="O69">
            <v>1E-3</v>
          </cell>
          <cell r="P69">
            <v>1E-3</v>
          </cell>
          <cell r="Q69">
            <v>1E-3</v>
          </cell>
          <cell r="R69">
            <v>1E-3</v>
          </cell>
          <cell r="S69">
            <v>1E-3</v>
          </cell>
        </row>
        <row r="72">
          <cell r="A72" t="str">
            <v>MANUFACTURING</v>
          </cell>
          <cell r="C72" t="str">
            <v>dollPerPENNYmanu</v>
          </cell>
          <cell r="D72" t="str">
            <v>$/penny</v>
          </cell>
          <cell r="E72">
            <v>8.6E-3</v>
          </cell>
          <cell r="J72">
            <v>8.6E-3</v>
          </cell>
          <cell r="K72">
            <v>7.8189132589397605E-3</v>
          </cell>
          <cell r="L72">
            <v>8.5080080080080084E-3</v>
          </cell>
          <cell r="M72">
            <v>6.4563695927332288E-3</v>
          </cell>
          <cell r="N72">
            <v>8.5080080080080084E-3</v>
          </cell>
          <cell r="O72">
            <v>8.5080080080080084E-3</v>
          </cell>
          <cell r="P72">
            <v>9.2624814897542176E-3</v>
          </cell>
          <cell r="Q72">
            <v>9.2624814897542176E-3</v>
          </cell>
          <cell r="R72">
            <v>8.5080080080080084E-3</v>
          </cell>
          <cell r="S72">
            <v>8.5080080080080084E-3</v>
          </cell>
        </row>
        <row r="76">
          <cell r="A76" t="str">
            <v>Fixed</v>
          </cell>
          <cell r="C76" t="str">
            <v>dollPerLINEPerYEARfixed</v>
          </cell>
          <cell r="D76" t="str">
            <v>$/Line/Yr</v>
          </cell>
          <cell r="E76">
            <v>800000</v>
          </cell>
          <cell r="K76">
            <v>800000</v>
          </cell>
          <cell r="L76">
            <v>800000</v>
          </cell>
          <cell r="M76">
            <v>800000</v>
          </cell>
          <cell r="N76">
            <v>800000</v>
          </cell>
          <cell r="O76">
            <v>800000</v>
          </cell>
          <cell r="P76">
            <v>800000</v>
          </cell>
          <cell r="Q76">
            <v>800000</v>
          </cell>
          <cell r="R76">
            <v>800000</v>
          </cell>
          <cell r="S76">
            <v>800000</v>
          </cell>
        </row>
        <row r="77">
          <cell r="C77" t="str">
            <v>dollPerYEARallLinesfixed</v>
          </cell>
          <cell r="D77" t="str">
            <v>$/Yr All Lines</v>
          </cell>
          <cell r="K77">
            <v>96800000</v>
          </cell>
          <cell r="L77">
            <v>96800000</v>
          </cell>
          <cell r="M77">
            <v>72000000</v>
          </cell>
          <cell r="N77">
            <v>96800000</v>
          </cell>
          <cell r="O77">
            <v>96800000</v>
          </cell>
          <cell r="P77">
            <v>105920000</v>
          </cell>
          <cell r="Q77">
            <v>105920000</v>
          </cell>
          <cell r="R77">
            <v>96800000</v>
          </cell>
          <cell r="S77">
            <v>96800000</v>
          </cell>
        </row>
        <row r="79">
          <cell r="A79" t="str">
            <v>Variable</v>
          </cell>
          <cell r="C79" t="str">
            <v>dollPerUNITvar</v>
          </cell>
          <cell r="D79" t="str">
            <v>$/Unit</v>
          </cell>
          <cell r="E79">
            <v>5.0000000000000001E-4</v>
          </cell>
          <cell r="K79">
            <v>5.0000000000000001E-4</v>
          </cell>
          <cell r="L79">
            <v>5.0000000000000001E-4</v>
          </cell>
          <cell r="M79">
            <v>5.0000000000000001E-4</v>
          </cell>
          <cell r="N79">
            <v>5.0000000000000001E-4</v>
          </cell>
          <cell r="O79">
            <v>5.0000000000000001E-4</v>
          </cell>
          <cell r="P79">
            <v>5.0000000000000001E-4</v>
          </cell>
          <cell r="Q79">
            <v>5.0000000000000001E-4</v>
          </cell>
          <cell r="R79">
            <v>5.0000000000000001E-4</v>
          </cell>
          <cell r="S79">
            <v>5.0000000000000001E-4</v>
          </cell>
        </row>
        <row r="81">
          <cell r="C81" t="str">
            <v>dollPerYEARallLinesvar</v>
          </cell>
          <cell r="D81" t="str">
            <v>$/yr All Lines</v>
          </cell>
          <cell r="E81">
            <v>45619.200000000004</v>
          </cell>
          <cell r="K81">
            <v>6613003.6369650001</v>
          </cell>
          <cell r="L81">
            <v>6043950</v>
          </cell>
          <cell r="M81">
            <v>6043950</v>
          </cell>
          <cell r="N81">
            <v>6043950</v>
          </cell>
          <cell r="O81">
            <v>6043950</v>
          </cell>
          <cell r="P81">
            <v>6043950</v>
          </cell>
          <cell r="Q81">
            <v>6043950</v>
          </cell>
          <cell r="R81">
            <v>6043950</v>
          </cell>
          <cell r="S81">
            <v>6043950</v>
          </cell>
        </row>
        <row r="85">
          <cell r="A85" t="str">
            <v>LOGISTICS</v>
          </cell>
          <cell r="C85" t="str">
            <v>dollPerPENNYlogi</v>
          </cell>
          <cell r="D85" t="str">
            <v>$/penny</v>
          </cell>
          <cell r="E85">
            <v>2E-3</v>
          </cell>
          <cell r="J85">
            <v>2E-3</v>
          </cell>
          <cell r="K85">
            <v>2E-3</v>
          </cell>
          <cell r="L85">
            <v>2E-3</v>
          </cell>
          <cell r="M85">
            <v>2E-3</v>
          </cell>
          <cell r="N85">
            <v>1E-3</v>
          </cell>
          <cell r="O85">
            <v>1.25E-3</v>
          </cell>
          <cell r="P85">
            <v>1.25E-3</v>
          </cell>
          <cell r="Q85">
            <v>1.25E-3</v>
          </cell>
          <cell r="R85">
            <v>2E-3</v>
          </cell>
          <cell r="S85">
            <v>2E-3</v>
          </cell>
        </row>
        <row r="86">
          <cell r="C86" t="str">
            <v>moneyPerTRIP</v>
          </cell>
          <cell r="D86" t="str">
            <v>money/trip</v>
          </cell>
          <cell r="E86">
            <v>182476.80000000002</v>
          </cell>
          <cell r="J86">
            <v>23974468.800000001</v>
          </cell>
          <cell r="K86">
            <v>2000000</v>
          </cell>
          <cell r="L86">
            <v>2000000</v>
          </cell>
          <cell r="M86">
            <v>2000000</v>
          </cell>
          <cell r="N86">
            <v>4000000</v>
          </cell>
          <cell r="O86">
            <v>2000000</v>
          </cell>
          <cell r="P86">
            <v>2000000</v>
          </cell>
          <cell r="Q86">
            <v>2000000</v>
          </cell>
          <cell r="R86">
            <v>2000000</v>
          </cell>
          <cell r="S86">
            <v>2000000</v>
          </cell>
        </row>
        <row r="87">
          <cell r="C87" t="str">
            <v>costPerTRIP</v>
          </cell>
          <cell r="D87" t="str">
            <v>cost/trip</v>
          </cell>
          <cell r="E87">
            <v>0.10000000000000002</v>
          </cell>
          <cell r="J87">
            <v>0.10000000000000002</v>
          </cell>
          <cell r="K87">
            <v>4000</v>
          </cell>
          <cell r="L87">
            <v>4000</v>
          </cell>
          <cell r="M87">
            <v>4000</v>
          </cell>
          <cell r="N87">
            <v>4000</v>
          </cell>
          <cell r="O87">
            <v>2500</v>
          </cell>
          <cell r="P87">
            <v>2500</v>
          </cell>
          <cell r="Q87">
            <v>2500</v>
          </cell>
          <cell r="R87">
            <v>4000</v>
          </cell>
          <cell r="S87">
            <v>4000</v>
          </cell>
        </row>
        <row r="88">
          <cell r="C88" t="str">
            <v>dollPerYEARlogi</v>
          </cell>
          <cell r="D88" t="str">
            <v>$/year</v>
          </cell>
          <cell r="E88">
            <v>182476.80000000002</v>
          </cell>
          <cell r="J88">
            <v>23974468.800000001</v>
          </cell>
          <cell r="K88">
            <v>26452014.54786</v>
          </cell>
          <cell r="L88">
            <v>24175800</v>
          </cell>
          <cell r="M88">
            <v>24175800</v>
          </cell>
          <cell r="N88">
            <v>12087900</v>
          </cell>
          <cell r="O88">
            <v>15109875</v>
          </cell>
          <cell r="P88">
            <v>15109875</v>
          </cell>
          <cell r="Q88">
            <v>15109875</v>
          </cell>
          <cell r="R88">
            <v>24175800</v>
          </cell>
          <cell r="S88">
            <v>24175800</v>
          </cell>
        </row>
        <row r="94">
          <cell r="A94"/>
          <cell r="C94" t="str">
            <v>dollPerYEARocgs</v>
          </cell>
          <cell r="D94" t="str">
            <v>$/year</v>
          </cell>
          <cell r="E94">
            <v>18247.68</v>
          </cell>
          <cell r="J94">
            <v>2397446.88</v>
          </cell>
          <cell r="K94">
            <v>2645201.4547860003</v>
          </cell>
          <cell r="L94">
            <v>2417580</v>
          </cell>
          <cell r="M94">
            <v>2417580</v>
          </cell>
          <cell r="N94">
            <v>2417580</v>
          </cell>
          <cell r="O94">
            <v>2417580</v>
          </cell>
          <cell r="P94">
            <v>2417580</v>
          </cell>
          <cell r="Q94">
            <v>2417580</v>
          </cell>
          <cell r="R94">
            <v>2417580</v>
          </cell>
          <cell r="S94">
            <v>2417580</v>
          </cell>
        </row>
        <row r="118">
          <cell r="C118" t="str">
            <v>dollPerYEARgmargin</v>
          </cell>
          <cell r="D118" t="str">
            <v>$/year</v>
          </cell>
          <cell r="E118"/>
          <cell r="J118"/>
          <cell r="K118">
            <v>13226007.273929967</v>
          </cell>
          <cell r="L118">
            <v>12087899.999999968</v>
          </cell>
          <cell r="M118">
            <v>12087899.999999968</v>
          </cell>
          <cell r="N118">
            <v>12087899.999999968</v>
          </cell>
          <cell r="O118">
            <v>12087899.999999968</v>
          </cell>
          <cell r="P118">
            <v>12087899.999999968</v>
          </cell>
          <cell r="Q118">
            <v>320291043.56875002</v>
          </cell>
          <cell r="R118">
            <v>12087899.999999968</v>
          </cell>
          <cell r="S118">
            <v>12087899.999999968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tools/faqs/faq.php?id=74&amp;t=11" TargetMode="External"/><Relationship Id="rId2" Type="http://schemas.openxmlformats.org/officeDocument/2006/relationships/hyperlink" Target="https://taxpolicycenter.org/briefing-book/what-carbon-tax" TargetMode="External"/><Relationship Id="rId1" Type="http://schemas.openxmlformats.org/officeDocument/2006/relationships/hyperlink" Target="https://taxpolicycenter.org/briefing-book/what-carbon-tax" TargetMode="External"/><Relationship Id="rId6" Type="http://schemas.openxmlformats.org/officeDocument/2006/relationships/hyperlink" Target="https://www.agiboo.com/zinc/" TargetMode="External"/><Relationship Id="rId5" Type="http://schemas.openxmlformats.org/officeDocument/2006/relationships/hyperlink" Target="https://link.springer.com/article/10.1007/BF03339422" TargetMode="External"/><Relationship Id="rId4" Type="http://schemas.openxmlformats.org/officeDocument/2006/relationships/hyperlink" Target="https://www.eia.gov/tools/faqs/faq.php?id=74&amp;t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6FA5-625B-449E-82B1-27702670EA78}">
  <dimension ref="A1:DE438"/>
  <sheetViews>
    <sheetView tabSelected="1" topLeftCell="C1" zoomScale="70" zoomScaleNormal="70" workbookViewId="0">
      <pane ySplit="1" topLeftCell="A153" activePane="bottomLeft" state="frozen"/>
      <selection pane="bottomLeft" activeCell="T328" sqref="T328"/>
    </sheetView>
  </sheetViews>
  <sheetFormatPr baseColWidth="10" defaultColWidth="10.85546875" defaultRowHeight="15" outlineLevelRow="3" outlineLevelCol="1" x14ac:dyDescent="0.25"/>
  <cols>
    <col min="1" max="1" width="51.7109375" style="5" customWidth="1"/>
    <col min="2" max="2" width="22.140625" style="5" customWidth="1"/>
    <col min="3" max="3" width="26" style="5" customWidth="1"/>
    <col min="4" max="4" width="25.5703125" style="5" customWidth="1"/>
    <col min="5" max="5" width="19.140625" style="10" hidden="1" customWidth="1" outlineLevel="1"/>
    <col min="6" max="6" width="12.85546875" style="5" hidden="1" customWidth="1" outlineLevel="1"/>
    <col min="7" max="7" width="15.140625" style="5" hidden="1" customWidth="1" outlineLevel="1"/>
    <col min="8" max="9" width="12.85546875" style="5" hidden="1" customWidth="1" outlineLevel="1"/>
    <col min="10" max="10" width="19" style="5" hidden="1" customWidth="1" outlineLevel="1"/>
    <col min="11" max="11" width="23.85546875" style="10" customWidth="1" collapsed="1"/>
    <col min="12" max="12" width="10.85546875" style="5"/>
    <col min="13" max="15" width="23.85546875" style="10" hidden="1" customWidth="1" outlineLevel="1" collapsed="1"/>
    <col min="16" max="16" width="23.85546875" style="10" customWidth="1" collapsed="1"/>
    <col min="17" max="17" width="28.85546875" style="10" customWidth="1" collapsed="1"/>
    <col min="18" max="20" width="23.85546875" style="10" customWidth="1" collapsed="1"/>
    <col min="21" max="16384" width="10.85546875" style="5"/>
  </cols>
  <sheetData>
    <row r="1" spans="1:20" x14ac:dyDescent="0.25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K1" s="3"/>
      <c r="M1" s="3" t="s">
        <v>466</v>
      </c>
      <c r="N1" s="3" t="s">
        <v>467</v>
      </c>
      <c r="O1" s="3"/>
      <c r="P1" s="3" t="s">
        <v>627</v>
      </c>
      <c r="Q1" s="3" t="s">
        <v>634</v>
      </c>
      <c r="R1" s="3" t="s">
        <v>635</v>
      </c>
      <c r="S1" s="3" t="s">
        <v>643</v>
      </c>
      <c r="T1" s="3" t="s">
        <v>644</v>
      </c>
    </row>
    <row r="2" spans="1:20" x14ac:dyDescent="0.25">
      <c r="A2" s="2" t="s">
        <v>8</v>
      </c>
      <c r="B2" s="1"/>
      <c r="C2" s="6" t="s">
        <v>9</v>
      </c>
      <c r="D2" s="1"/>
      <c r="E2" s="3">
        <v>330000000</v>
      </c>
      <c r="F2" s="7">
        <v>330000000</v>
      </c>
      <c r="G2" s="7">
        <v>330000000</v>
      </c>
      <c r="H2" s="7">
        <v>330000000</v>
      </c>
      <c r="I2" s="7">
        <v>330000000</v>
      </c>
      <c r="K2" s="3">
        <v>310688449</v>
      </c>
      <c r="M2" s="3">
        <v>310688449</v>
      </c>
      <c r="N2" s="3">
        <v>310688449</v>
      </c>
      <c r="O2" s="3">
        <v>310688449</v>
      </c>
      <c r="P2" s="3">
        <v>310688449</v>
      </c>
      <c r="Q2" s="3">
        <v>310688449</v>
      </c>
      <c r="R2" s="3">
        <v>310688449</v>
      </c>
      <c r="S2" s="3">
        <v>310688449</v>
      </c>
      <c r="T2" s="3">
        <v>310688449</v>
      </c>
    </row>
    <row r="3" spans="1:20" x14ac:dyDescent="0.25">
      <c r="A3" s="8"/>
      <c r="C3" s="9"/>
    </row>
    <row r="4" spans="1:20" x14ac:dyDescent="0.25">
      <c r="A4" s="2" t="s">
        <v>10</v>
      </c>
      <c r="B4" s="1" t="s">
        <v>11</v>
      </c>
      <c r="C4" s="6" t="s">
        <v>12</v>
      </c>
      <c r="D4" s="1" t="s">
        <v>13</v>
      </c>
      <c r="E4" s="11">
        <v>0.05</v>
      </c>
      <c r="F4" s="12">
        <v>0.05</v>
      </c>
      <c r="G4" s="12">
        <v>0.05</v>
      </c>
      <c r="H4" s="12">
        <v>0.05</v>
      </c>
      <c r="I4" s="12">
        <v>0.05</v>
      </c>
      <c r="K4" s="11">
        <v>0.99</v>
      </c>
      <c r="M4" s="11">
        <v>0.99</v>
      </c>
      <c r="N4" s="11">
        <v>0.99</v>
      </c>
      <c r="O4" s="11">
        <v>0.99</v>
      </c>
      <c r="P4" s="11">
        <v>0.99</v>
      </c>
      <c r="Q4" s="11">
        <v>0.99</v>
      </c>
      <c r="R4" s="11">
        <v>0.99</v>
      </c>
      <c r="S4" s="11">
        <v>0.99</v>
      </c>
      <c r="T4" s="11">
        <v>0.99</v>
      </c>
    </row>
    <row r="5" spans="1:20" hidden="1" outlineLevel="1" x14ac:dyDescent="0.25">
      <c r="A5" s="2" t="s">
        <v>14</v>
      </c>
      <c r="B5" s="1"/>
      <c r="C5" s="6" t="s">
        <v>15</v>
      </c>
      <c r="D5" s="1" t="s">
        <v>16</v>
      </c>
      <c r="E5" s="13">
        <f>_xlfn.SINGLE(numALL) * _xlfn.SINGLE(pNEED)</f>
        <v>16500000</v>
      </c>
      <c r="F5" s="13">
        <f>_xlfn.SINGLE(numALL) * _xlfn.SINGLE(pNEED)</f>
        <v>16500000</v>
      </c>
      <c r="G5" s="13">
        <f>_xlfn.SINGLE(numALL) * _xlfn.SINGLE(pNEED)</f>
        <v>16500000</v>
      </c>
      <c r="H5" s="13">
        <f>_xlfn.SINGLE(numALL) * _xlfn.SINGLE(pNEED)</f>
        <v>16500000</v>
      </c>
      <c r="I5" s="13">
        <f>_xlfn.SINGLE(numALL) * _xlfn.SINGLE(pNEED)</f>
        <v>16500000</v>
      </c>
      <c r="K5" s="13">
        <f>_xlfn.SINGLE(numALL) * _xlfn.SINGLE(pNEED)</f>
        <v>307581564.50999999</v>
      </c>
      <c r="M5" s="13">
        <f t="shared" ref="M5:R5" si="0">_xlfn.SINGLE(numALL) * _xlfn.SINGLE(pNEED)</f>
        <v>307581564.50999999</v>
      </c>
      <c r="N5" s="13">
        <f t="shared" si="0"/>
        <v>307581564.50999999</v>
      </c>
      <c r="O5" s="13">
        <f t="shared" si="0"/>
        <v>307581564.50999999</v>
      </c>
      <c r="P5" s="13">
        <f t="shared" si="0"/>
        <v>307581564.50999999</v>
      </c>
      <c r="Q5" s="13">
        <f t="shared" si="0"/>
        <v>307581564.50999999</v>
      </c>
      <c r="R5" s="13">
        <f t="shared" si="0"/>
        <v>307581564.50999999</v>
      </c>
      <c r="S5" s="13">
        <f>_xlfn.SINGLE(numALL) * _xlfn.SINGLE(pNEED)</f>
        <v>307581564.50999999</v>
      </c>
      <c r="T5" s="13">
        <f>_xlfn.SINGLE(numALL) * _xlfn.SINGLE(pNEED)</f>
        <v>307581564.50999999</v>
      </c>
    </row>
    <row r="6" spans="1:20" hidden="1" outlineLevel="1" x14ac:dyDescent="0.25">
      <c r="A6" s="8"/>
      <c r="C6" s="9"/>
    </row>
    <row r="7" spans="1:20" collapsed="1" x14ac:dyDescent="0.25">
      <c r="A7" s="2" t="s">
        <v>17</v>
      </c>
      <c r="B7" s="1" t="s">
        <v>18</v>
      </c>
      <c r="C7" s="6" t="s">
        <v>19</v>
      </c>
      <c r="D7" s="1" t="s">
        <v>20</v>
      </c>
      <c r="E7" s="3">
        <v>0.8</v>
      </c>
      <c r="F7" s="14">
        <v>0.1</v>
      </c>
      <c r="G7" s="14">
        <v>0.05</v>
      </c>
      <c r="H7" s="15">
        <v>0.17536475869809204</v>
      </c>
      <c r="I7" s="14">
        <v>0.1</v>
      </c>
      <c r="K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</row>
    <row r="8" spans="1:20" hidden="1" outlineLevel="1" x14ac:dyDescent="0.25">
      <c r="A8" s="2" t="s">
        <v>21</v>
      </c>
      <c r="B8" s="1"/>
      <c r="C8" s="6" t="s">
        <v>22</v>
      </c>
      <c r="D8" s="1" t="s">
        <v>16</v>
      </c>
      <c r="E8" s="13">
        <f>numNEED * pAFFORD</f>
        <v>13200000</v>
      </c>
      <c r="F8" s="13">
        <f>numNEED * pAFFORD</f>
        <v>1650000</v>
      </c>
      <c r="G8" s="13">
        <f>numNEED * pAFFORD</f>
        <v>825000</v>
      </c>
      <c r="H8" s="13">
        <f>numNEED * pAFFORD</f>
        <v>2893518.5185185187</v>
      </c>
      <c r="I8" s="13">
        <f>numNEED * pAFFORD</f>
        <v>1650000</v>
      </c>
      <c r="K8" s="13">
        <f>numNEED * pAFFORD</f>
        <v>307581564.50999999</v>
      </c>
      <c r="M8" s="13">
        <f t="shared" ref="M8:R8" si="1">numNEED * pAFFORD</f>
        <v>307581564.50999999</v>
      </c>
      <c r="N8" s="13">
        <f t="shared" si="1"/>
        <v>307581564.50999999</v>
      </c>
      <c r="O8" s="13">
        <f t="shared" si="1"/>
        <v>307581564.50999999</v>
      </c>
      <c r="P8" s="13">
        <f t="shared" si="1"/>
        <v>307581564.50999999</v>
      </c>
      <c r="Q8" s="13">
        <f t="shared" si="1"/>
        <v>307581564.50999999</v>
      </c>
      <c r="R8" s="13">
        <f t="shared" si="1"/>
        <v>307581564.50999999</v>
      </c>
      <c r="S8" s="13">
        <f>numNEED * pAFFORD</f>
        <v>307581564.50999999</v>
      </c>
      <c r="T8" s="13">
        <f>numNEED * pAFFORD</f>
        <v>307581564.50999999</v>
      </c>
    </row>
    <row r="9" spans="1:20" hidden="1" outlineLevel="1" x14ac:dyDescent="0.25">
      <c r="A9" s="8"/>
      <c r="C9" s="9"/>
    </row>
    <row r="10" spans="1:20" collapsed="1" x14ac:dyDescent="0.25">
      <c r="A10" s="2" t="s">
        <v>23</v>
      </c>
      <c r="B10" s="1" t="s">
        <v>24</v>
      </c>
      <c r="C10" s="6" t="s">
        <v>25</v>
      </c>
      <c r="D10" s="1" t="s">
        <v>26</v>
      </c>
      <c r="E10" s="3">
        <v>0.8</v>
      </c>
      <c r="F10" s="14">
        <v>0.8</v>
      </c>
      <c r="G10" s="14">
        <v>0.05</v>
      </c>
      <c r="H10" s="14">
        <v>0.8</v>
      </c>
      <c r="I10" s="15">
        <v>1.4029180695847363</v>
      </c>
      <c r="K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</row>
    <row r="11" spans="1:20" hidden="1" outlineLevel="1" x14ac:dyDescent="0.25">
      <c r="A11" s="2" t="s">
        <v>27</v>
      </c>
      <c r="B11" s="1"/>
      <c r="C11" s="6" t="s">
        <v>28</v>
      </c>
      <c r="D11" s="1" t="s">
        <v>16</v>
      </c>
      <c r="E11" s="13">
        <f>numAFFORD*pAWARE</f>
        <v>10560000</v>
      </c>
      <c r="F11" s="13">
        <f>numAFFORD*pAWARE</f>
        <v>1320000</v>
      </c>
      <c r="G11" s="13">
        <f>numAFFORD*pAWARE</f>
        <v>41250</v>
      </c>
      <c r="H11" s="13">
        <f>numAFFORD*pAWARE</f>
        <v>2314814.8148148148</v>
      </c>
      <c r="I11" s="13">
        <f>numAFFORD*pAWARE</f>
        <v>2314814.8148148148</v>
      </c>
      <c r="K11" s="13">
        <f>numAFFORD*pAWARE</f>
        <v>307581564.50999999</v>
      </c>
      <c r="M11" s="13">
        <f t="shared" ref="M11:R11" si="2">numAFFORD*pAWARE</f>
        <v>307581564.50999999</v>
      </c>
      <c r="N11" s="13">
        <f t="shared" si="2"/>
        <v>307581564.50999999</v>
      </c>
      <c r="O11" s="13">
        <f t="shared" si="2"/>
        <v>307581564.50999999</v>
      </c>
      <c r="P11" s="13">
        <f t="shared" si="2"/>
        <v>307581564.50999999</v>
      </c>
      <c r="Q11" s="13">
        <f t="shared" si="2"/>
        <v>307581564.50999999</v>
      </c>
      <c r="R11" s="13">
        <f t="shared" si="2"/>
        <v>307581564.50999999</v>
      </c>
      <c r="S11" s="13">
        <f>numAFFORD*pAWARE</f>
        <v>307581564.50999999</v>
      </c>
      <c r="T11" s="13">
        <f>numAFFORD*pAWARE</f>
        <v>307581564.50999999</v>
      </c>
    </row>
    <row r="12" spans="1:20" hidden="1" outlineLevel="1" x14ac:dyDescent="0.25">
      <c r="A12" s="8"/>
      <c r="C12" s="9"/>
    </row>
    <row r="13" spans="1:20" collapsed="1" x14ac:dyDescent="0.25">
      <c r="A13" s="2" t="s">
        <v>29</v>
      </c>
      <c r="B13" s="1" t="s">
        <v>30</v>
      </c>
      <c r="C13" s="6" t="s">
        <v>31</v>
      </c>
      <c r="D13" s="1" t="s">
        <v>32</v>
      </c>
      <c r="E13" s="3">
        <v>0.8</v>
      </c>
      <c r="F13" s="16">
        <v>0.8</v>
      </c>
      <c r="G13" s="16">
        <v>1</v>
      </c>
      <c r="H13" s="16">
        <v>0.8</v>
      </c>
      <c r="I13" s="16">
        <v>0.8</v>
      </c>
      <c r="K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</row>
    <row r="14" spans="1:20" hidden="1" outlineLevel="1" x14ac:dyDescent="0.25">
      <c r="A14" s="2" t="s">
        <v>33</v>
      </c>
      <c r="B14" s="1"/>
      <c r="C14" s="6" t="s">
        <v>34</v>
      </c>
      <c r="D14" s="1" t="s">
        <v>16</v>
      </c>
      <c r="E14" s="13">
        <f>numAWARE*pACCESS</f>
        <v>8448000</v>
      </c>
      <c r="F14" s="13">
        <f>numAWARE*pACCESS</f>
        <v>1056000</v>
      </c>
      <c r="G14" s="13">
        <f>numAWARE*pACCESS</f>
        <v>41250</v>
      </c>
      <c r="H14" s="13">
        <f>numAWARE*pACCESS</f>
        <v>1851851.8518518519</v>
      </c>
      <c r="I14" s="13">
        <f>numAWARE*pACCESS</f>
        <v>1851851.8518518519</v>
      </c>
      <c r="K14" s="13">
        <f>numAWARE*pACCESS</f>
        <v>307581564.50999999</v>
      </c>
      <c r="M14" s="13">
        <f t="shared" ref="M14:R14" si="3">numAWARE*pACCESS</f>
        <v>307581564.50999999</v>
      </c>
      <c r="N14" s="13">
        <f t="shared" si="3"/>
        <v>307581564.50999999</v>
      </c>
      <c r="O14" s="13">
        <f t="shared" si="3"/>
        <v>307581564.50999999</v>
      </c>
      <c r="P14" s="13">
        <f t="shared" si="3"/>
        <v>307581564.50999999</v>
      </c>
      <c r="Q14" s="13">
        <f t="shared" si="3"/>
        <v>307581564.50999999</v>
      </c>
      <c r="R14" s="13">
        <f t="shared" si="3"/>
        <v>307581564.50999999</v>
      </c>
      <c r="S14" s="13">
        <f>numAWARE*pACCESS</f>
        <v>307581564.50999999</v>
      </c>
      <c r="T14" s="13">
        <f>numAWARE*pACCESS</f>
        <v>307581564.50999999</v>
      </c>
    </row>
    <row r="15" spans="1:20" hidden="1" outlineLevel="1" x14ac:dyDescent="0.25">
      <c r="A15" s="8"/>
      <c r="C15" s="9"/>
    </row>
    <row r="16" spans="1:20" collapsed="1" x14ac:dyDescent="0.25">
      <c r="A16" s="2" t="s">
        <v>35</v>
      </c>
      <c r="B16" s="1" t="s">
        <v>18</v>
      </c>
      <c r="C16" s="6" t="s">
        <v>36</v>
      </c>
      <c r="D16" s="1" t="s">
        <v>37</v>
      </c>
      <c r="E16" s="3">
        <v>0.4</v>
      </c>
      <c r="F16" s="16">
        <v>0.4</v>
      </c>
      <c r="G16" s="16">
        <v>0.1</v>
      </c>
      <c r="H16" s="16">
        <v>0.4</v>
      </c>
      <c r="I16" s="16">
        <v>0.4</v>
      </c>
      <c r="K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</row>
    <row r="17" spans="1:20" hidden="1" outlineLevel="1" x14ac:dyDescent="0.25">
      <c r="A17" s="2" t="s">
        <v>38</v>
      </c>
      <c r="B17" s="1"/>
      <c r="C17" s="6" t="s">
        <v>39</v>
      </c>
      <c r="D17" s="1" t="s">
        <v>16</v>
      </c>
      <c r="E17" s="13">
        <f>numACCESS*pTRY</f>
        <v>3379200</v>
      </c>
      <c r="F17" s="13">
        <f>numACCESS*pTRY</f>
        <v>422400</v>
      </c>
      <c r="G17" s="13">
        <f>numACCESS*pTRY</f>
        <v>4125</v>
      </c>
      <c r="H17" s="13">
        <f>numACCESS*pTRY</f>
        <v>740740.74074074079</v>
      </c>
      <c r="I17" s="13">
        <f>numACCESS*pTRY</f>
        <v>740740.74074074079</v>
      </c>
      <c r="K17" s="13">
        <f>numACCESS*pTRY</f>
        <v>307581564.50999999</v>
      </c>
      <c r="M17" s="13">
        <f t="shared" ref="M17:R17" si="4">numACCESS*pTRY</f>
        <v>307581564.50999999</v>
      </c>
      <c r="N17" s="13">
        <f t="shared" si="4"/>
        <v>307581564.50999999</v>
      </c>
      <c r="O17" s="13">
        <f t="shared" si="4"/>
        <v>307581564.50999999</v>
      </c>
      <c r="P17" s="13">
        <f t="shared" si="4"/>
        <v>307581564.50999999</v>
      </c>
      <c r="Q17" s="13">
        <f t="shared" si="4"/>
        <v>307581564.50999999</v>
      </c>
      <c r="R17" s="13">
        <f t="shared" si="4"/>
        <v>307581564.50999999</v>
      </c>
      <c r="S17" s="13">
        <f>numACCESS*pTRY</f>
        <v>307581564.50999999</v>
      </c>
      <c r="T17" s="13">
        <f>numACCESS*pTRY</f>
        <v>307581564.50999999</v>
      </c>
    </row>
    <row r="18" spans="1:20" hidden="1" outlineLevel="1" x14ac:dyDescent="0.25">
      <c r="A18" s="8"/>
      <c r="C18" s="9"/>
    </row>
    <row r="19" spans="1:20" collapsed="1" x14ac:dyDescent="0.25">
      <c r="A19" s="2" t="s">
        <v>40</v>
      </c>
      <c r="B19" s="1" t="s">
        <v>41</v>
      </c>
      <c r="C19" s="6" t="s">
        <v>42</v>
      </c>
      <c r="D19" s="1" t="s">
        <v>43</v>
      </c>
      <c r="E19" s="3">
        <v>0.5</v>
      </c>
      <c r="F19" s="14">
        <v>0.5</v>
      </c>
      <c r="G19" s="14">
        <v>0.1</v>
      </c>
      <c r="H19" s="14">
        <v>0.5</v>
      </c>
      <c r="I19" s="14">
        <v>0.5</v>
      </c>
      <c r="K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</row>
    <row r="20" spans="1:20" hidden="1" outlineLevel="1" x14ac:dyDescent="0.25">
      <c r="A20" s="2" t="s">
        <v>44</v>
      </c>
      <c r="B20" s="1" t="s">
        <v>18</v>
      </c>
      <c r="C20" s="6" t="s">
        <v>45</v>
      </c>
      <c r="D20" s="1" t="s">
        <v>16</v>
      </c>
      <c r="E20" s="3">
        <v>52</v>
      </c>
      <c r="F20" s="4">
        <v>52</v>
      </c>
      <c r="G20" s="4">
        <v>0.5</v>
      </c>
      <c r="H20" s="4">
        <v>52</v>
      </c>
      <c r="I20" s="4">
        <v>52</v>
      </c>
      <c r="K20" s="3">
        <v>42</v>
      </c>
      <c r="M20" s="3">
        <v>42</v>
      </c>
      <c r="N20" s="3">
        <v>42</v>
      </c>
      <c r="O20" s="3">
        <v>42</v>
      </c>
      <c r="P20" s="3">
        <v>42</v>
      </c>
      <c r="Q20" s="3">
        <v>42</v>
      </c>
      <c r="R20" s="3">
        <v>42</v>
      </c>
      <c r="S20" s="3">
        <v>42</v>
      </c>
      <c r="T20" s="3">
        <v>42</v>
      </c>
    </row>
    <row r="21" spans="1:20" hidden="1" outlineLevel="1" x14ac:dyDescent="0.25">
      <c r="A21" s="2" t="s">
        <v>46</v>
      </c>
      <c r="B21" s="1"/>
      <c r="C21" s="6" t="s">
        <v>47</v>
      </c>
      <c r="D21" s="1"/>
      <c r="E21" s="13">
        <f>numTRY*pREPEAT*numREPEAT</f>
        <v>87859200</v>
      </c>
      <c r="F21" s="13">
        <f>numTRY*pREPEAT*numREPEAT</f>
        <v>10982400</v>
      </c>
      <c r="G21" s="13">
        <f>numTRY*pREPEAT*numREPEAT</f>
        <v>206.25</v>
      </c>
      <c r="H21" s="13">
        <f>numTRY*pREPEAT*numREPEAT</f>
        <v>19259259.259259261</v>
      </c>
      <c r="I21" s="13">
        <f>numTRY*pREPEAT*numREPEAT</f>
        <v>19259259.259259261</v>
      </c>
      <c r="K21" s="13">
        <f>numTRY*pREPEAT*numREPEAT</f>
        <v>12918425709.42</v>
      </c>
      <c r="M21" s="13">
        <f t="shared" ref="M21:R21" si="5">numTRY*pREPEAT*numREPEAT</f>
        <v>12918425709.42</v>
      </c>
      <c r="N21" s="13">
        <f t="shared" si="5"/>
        <v>12918425709.42</v>
      </c>
      <c r="O21" s="13">
        <f t="shared" si="5"/>
        <v>12918425709.42</v>
      </c>
      <c r="P21" s="13">
        <f t="shared" si="5"/>
        <v>12918425709.42</v>
      </c>
      <c r="Q21" s="13">
        <f t="shared" si="5"/>
        <v>12918425709.42</v>
      </c>
      <c r="R21" s="13">
        <f t="shared" si="5"/>
        <v>12918425709.42</v>
      </c>
      <c r="S21" s="13">
        <f>numTRY*pREPEAT*numREPEAT</f>
        <v>12918425709.42</v>
      </c>
      <c r="T21" s="13">
        <f>numTRY*pREPEAT*numREPEAT</f>
        <v>12918425709.42</v>
      </c>
    </row>
    <row r="22" spans="1:20" hidden="1" outlineLevel="1" x14ac:dyDescent="0.25">
      <c r="A22" s="8"/>
      <c r="C22" s="9"/>
    </row>
    <row r="23" spans="1:20" collapsed="1" x14ac:dyDescent="0.25">
      <c r="A23" s="2" t="s">
        <v>48</v>
      </c>
      <c r="B23" s="1" t="s">
        <v>49</v>
      </c>
      <c r="C23" s="6" t="s">
        <v>463</v>
      </c>
      <c r="D23" s="1" t="s">
        <v>16</v>
      </c>
      <c r="E23" s="17">
        <f>numTRY+volREPEAT</f>
        <v>91238400</v>
      </c>
      <c r="F23" s="17">
        <f>numTRY+volREPEAT</f>
        <v>11404800</v>
      </c>
      <c r="G23" s="17">
        <f>numTRY+volREPEAT</f>
        <v>4331.25</v>
      </c>
      <c r="H23" s="17">
        <f>numTRY+volREPEAT</f>
        <v>20000000.000000004</v>
      </c>
      <c r="I23" s="17">
        <f>numTRY+volREPEAT</f>
        <v>20000000.000000004</v>
      </c>
      <c r="J23" s="5">
        <v>11987234400</v>
      </c>
      <c r="K23" s="17">
        <f>numTRY+volREPEAT</f>
        <v>13226007273.93</v>
      </c>
      <c r="M23" s="17">
        <f t="shared" ref="M23:R23" si="6">numTRY+volREPEAT</f>
        <v>13226007273.93</v>
      </c>
      <c r="N23" s="17">
        <f t="shared" si="6"/>
        <v>13226007273.93</v>
      </c>
      <c r="O23" s="17">
        <f t="shared" si="6"/>
        <v>13226007273.93</v>
      </c>
      <c r="P23" s="17">
        <f t="shared" si="6"/>
        <v>13226007273.93</v>
      </c>
      <c r="Q23" s="17">
        <f t="shared" si="6"/>
        <v>13226007273.93</v>
      </c>
      <c r="R23" s="17">
        <f t="shared" si="6"/>
        <v>13226007273.93</v>
      </c>
      <c r="S23" s="17">
        <f>numTRY+volREPEAT</f>
        <v>13226007273.93</v>
      </c>
      <c r="T23" s="17">
        <f>numTRY+volREPEAT</f>
        <v>13226007273.93</v>
      </c>
    </row>
    <row r="24" spans="1:20" s="18" customFormat="1" x14ac:dyDescent="0.25">
      <c r="E24" s="19"/>
      <c r="K24" s="19"/>
      <c r="M24" s="19"/>
      <c r="N24" s="19"/>
      <c r="O24" s="19"/>
      <c r="P24" s="19"/>
      <c r="Q24" s="19"/>
      <c r="R24" s="19"/>
      <c r="S24" s="19"/>
      <c r="T24" s="19"/>
    </row>
    <row r="25" spans="1:20" s="21" customFormat="1" outlineLevel="1" x14ac:dyDescent="0.25">
      <c r="A25" s="20" t="s">
        <v>50</v>
      </c>
      <c r="E25" s="22"/>
      <c r="K25" s="22"/>
      <c r="M25" s="22"/>
      <c r="N25" s="22"/>
      <c r="O25" s="22"/>
      <c r="P25" s="22"/>
      <c r="Q25" s="22"/>
      <c r="R25" s="22"/>
      <c r="S25" s="22"/>
      <c r="T25" s="22"/>
    </row>
    <row r="26" spans="1:20" outlineLevel="1" x14ac:dyDescent="0.25">
      <c r="A26" s="1" t="s">
        <v>51</v>
      </c>
      <c r="C26" s="6" t="s">
        <v>52</v>
      </c>
      <c r="D26" s="1" t="s">
        <v>53</v>
      </c>
      <c r="E26" s="23">
        <v>121</v>
      </c>
      <c r="F26" s="10"/>
      <c r="G26" s="10"/>
      <c r="H26" s="10"/>
      <c r="I26" s="10"/>
      <c r="J26" s="24">
        <v>121</v>
      </c>
      <c r="K26" s="25">
        <v>121</v>
      </c>
      <c r="M26" s="25">
        <v>121</v>
      </c>
      <c r="N26" s="25">
        <v>121</v>
      </c>
      <c r="O26" s="25">
        <v>121</v>
      </c>
      <c r="P26" s="25">
        <v>121</v>
      </c>
      <c r="Q26" s="25">
        <v>121</v>
      </c>
      <c r="R26" s="25">
        <v>-4.5712098853730002E+18</v>
      </c>
      <c r="S26" s="25">
        <v>121</v>
      </c>
      <c r="T26" s="25">
        <v>121</v>
      </c>
    </row>
    <row r="27" spans="1:20" outlineLevel="1" x14ac:dyDescent="0.25">
      <c r="A27" s="1" t="s">
        <v>54</v>
      </c>
      <c r="C27" s="6" t="s">
        <v>55</v>
      </c>
      <c r="D27" s="1" t="s">
        <v>56</v>
      </c>
      <c r="E27" s="26">
        <f>totalVOL</f>
        <v>91238400</v>
      </c>
      <c r="F27" s="10"/>
      <c r="G27" s="10"/>
      <c r="H27" s="10"/>
      <c r="I27" s="10"/>
      <c r="J27" s="27">
        <f>totalVOL</f>
        <v>11987234400</v>
      </c>
      <c r="K27" s="28">
        <f>totalVOL</f>
        <v>13226007273.93</v>
      </c>
      <c r="M27" s="28">
        <f t="shared" ref="M27:R27" si="7">totalVOL</f>
        <v>13226007273.93</v>
      </c>
      <c r="N27" s="28">
        <f t="shared" si="7"/>
        <v>13226007273.93</v>
      </c>
      <c r="O27" s="28">
        <f t="shared" si="7"/>
        <v>13226007273.93</v>
      </c>
      <c r="P27" s="28">
        <f t="shared" si="7"/>
        <v>13226007273.93</v>
      </c>
      <c r="Q27" s="28">
        <f t="shared" si="7"/>
        <v>13226007273.93</v>
      </c>
      <c r="R27" s="28">
        <f t="shared" si="7"/>
        <v>13226007273.93</v>
      </c>
      <c r="S27" s="28">
        <f>totalVOL</f>
        <v>13226007273.93</v>
      </c>
      <c r="T27" s="28">
        <f>totalVOL</f>
        <v>13226007273.93</v>
      </c>
    </row>
    <row r="28" spans="1:20" outlineLevel="1" x14ac:dyDescent="0.25">
      <c r="A28" s="1" t="s">
        <v>57</v>
      </c>
      <c r="C28" s="6" t="s">
        <v>58</v>
      </c>
      <c r="D28" s="1" t="s">
        <v>59</v>
      </c>
      <c r="E28" s="29">
        <f>totalTHRUPUT/numLINES</f>
        <v>754036.36363636365</v>
      </c>
      <c r="F28" s="10"/>
      <c r="G28" s="10"/>
      <c r="H28" s="10"/>
      <c r="I28" s="10"/>
      <c r="J28" s="30">
        <f t="shared" ref="J28:T28" si="8">totalTHRUPUT/numLINES</f>
        <v>99068052.892561987</v>
      </c>
      <c r="K28" s="31">
        <f t="shared" si="8"/>
        <v>109305845.2390909</v>
      </c>
      <c r="M28" s="31">
        <f t="shared" si="8"/>
        <v>109305845.2390909</v>
      </c>
      <c r="N28" s="31">
        <f t="shared" si="8"/>
        <v>109305845.2390909</v>
      </c>
      <c r="O28" s="31">
        <f t="shared" si="8"/>
        <v>109305845.2390909</v>
      </c>
      <c r="P28" s="31">
        <f t="shared" si="8"/>
        <v>109305845.2390909</v>
      </c>
      <c r="Q28" s="31">
        <f t="shared" si="8"/>
        <v>109305845.2390909</v>
      </c>
      <c r="R28" s="31">
        <f t="shared" si="8"/>
        <v>-2.893327500942519E-9</v>
      </c>
      <c r="S28" s="31">
        <f t="shared" si="8"/>
        <v>109305845.2390909</v>
      </c>
      <c r="T28" s="31">
        <f t="shared" si="8"/>
        <v>109305845.2390909</v>
      </c>
    </row>
    <row r="29" spans="1:20" outlineLevel="1" x14ac:dyDescent="0.25">
      <c r="A29" s="1" t="s">
        <v>60</v>
      </c>
      <c r="C29" s="1" t="s">
        <v>61</v>
      </c>
      <c r="E29" s="10">
        <v>0</v>
      </c>
      <c r="F29" s="10"/>
      <c r="G29" s="10"/>
      <c r="H29" s="10"/>
      <c r="I29" s="10"/>
      <c r="J29" s="10"/>
    </row>
    <row r="30" spans="1:20" outlineLevel="1" x14ac:dyDescent="0.25">
      <c r="F30" s="10"/>
      <c r="G30" s="10"/>
      <c r="H30" s="10"/>
      <c r="I30" s="10"/>
      <c r="J30" s="10"/>
    </row>
    <row r="31" spans="1:20" outlineLevel="1" x14ac:dyDescent="0.25">
      <c r="A31" s="32" t="s">
        <v>62</v>
      </c>
      <c r="C31" s="9" t="s">
        <v>63</v>
      </c>
      <c r="D31" s="5" t="s">
        <v>64</v>
      </c>
      <c r="F31" s="10"/>
      <c r="G31" s="10"/>
      <c r="H31" s="10"/>
      <c r="I31" s="10"/>
      <c r="J31" s="10"/>
      <c r="K31" s="33">
        <f>rate*reliability*24*60</f>
        <v>498959.99999999988</v>
      </c>
      <c r="M31" s="33">
        <f t="shared" ref="M31:R31" si="9">rate*reliability*24*60</f>
        <v>498959.99999999988</v>
      </c>
      <c r="N31" s="33">
        <f t="shared" si="9"/>
        <v>498959.99999999988</v>
      </c>
      <c r="O31" s="33">
        <f t="shared" si="9"/>
        <v>498959.99999999988</v>
      </c>
      <c r="P31" s="33">
        <f t="shared" si="9"/>
        <v>498959.99999999988</v>
      </c>
      <c r="Q31" s="33">
        <f t="shared" si="9"/>
        <v>498959.99999999988</v>
      </c>
      <c r="R31" s="33">
        <f t="shared" si="9"/>
        <v>498959.99999999988</v>
      </c>
      <c r="S31" s="33">
        <f>rate*reliability*24*60</f>
        <v>498959.99999999988</v>
      </c>
      <c r="T31" s="33">
        <f>rate*reliability*24*60</f>
        <v>498959.99999999988</v>
      </c>
    </row>
    <row r="32" spans="1:20" outlineLevel="1" x14ac:dyDescent="0.25">
      <c r="A32" s="34"/>
      <c r="C32" s="9"/>
      <c r="F32" s="10"/>
      <c r="G32" s="10"/>
      <c r="H32" s="10"/>
      <c r="I32" s="10"/>
      <c r="J32" s="10"/>
    </row>
    <row r="33" spans="1:20" outlineLevel="1" x14ac:dyDescent="0.25">
      <c r="A33" s="32" t="s">
        <v>65</v>
      </c>
      <c r="C33" s="9" t="s">
        <v>66</v>
      </c>
      <c r="D33" s="5" t="s">
        <v>67</v>
      </c>
      <c r="F33" s="10"/>
      <c r="G33" s="10"/>
      <c r="H33" s="10"/>
      <c r="I33" s="10"/>
      <c r="J33" s="10"/>
      <c r="K33" s="35">
        <f>MIN(_xlfn.SINGLE(rate1),_xlfn.SINGLE(rate2))</f>
        <v>550</v>
      </c>
      <c r="M33" s="35">
        <f t="shared" ref="M33:R33" si="10">MIN(_xlfn.SINGLE(rate1),_xlfn.SINGLE(rate2))</f>
        <v>550</v>
      </c>
      <c r="N33" s="35">
        <f t="shared" si="10"/>
        <v>550</v>
      </c>
      <c r="O33" s="35">
        <f t="shared" si="10"/>
        <v>550</v>
      </c>
      <c r="P33" s="35">
        <f t="shared" si="10"/>
        <v>550</v>
      </c>
      <c r="Q33" s="35">
        <f t="shared" si="10"/>
        <v>550</v>
      </c>
      <c r="R33" s="35">
        <f t="shared" si="10"/>
        <v>550</v>
      </c>
      <c r="S33" s="35">
        <f>MIN(_xlfn.SINGLE(rate1),_xlfn.SINGLE(rate2))</f>
        <v>550</v>
      </c>
      <c r="T33" s="35">
        <f>MIN(_xlfn.SINGLE(rate1),_xlfn.SINGLE(rate2))</f>
        <v>550</v>
      </c>
    </row>
    <row r="34" spans="1:20" outlineLevel="1" x14ac:dyDescent="0.25">
      <c r="A34" s="36" t="s">
        <v>68</v>
      </c>
      <c r="C34" s="9" t="s">
        <v>69</v>
      </c>
      <c r="F34" s="10"/>
      <c r="G34" s="10"/>
      <c r="H34" s="10"/>
      <c r="I34" s="10"/>
      <c r="J34" s="10"/>
      <c r="K34" s="3">
        <v>550</v>
      </c>
      <c r="M34" s="3">
        <v>550</v>
      </c>
      <c r="N34" s="3">
        <v>550</v>
      </c>
      <c r="O34" s="3">
        <v>550</v>
      </c>
      <c r="P34" s="3">
        <v>550</v>
      </c>
      <c r="Q34" s="3">
        <v>550</v>
      </c>
      <c r="R34" s="3">
        <v>550</v>
      </c>
      <c r="S34" s="3">
        <v>550</v>
      </c>
      <c r="T34" s="3">
        <v>550</v>
      </c>
    </row>
    <row r="35" spans="1:20" outlineLevel="1" x14ac:dyDescent="0.25">
      <c r="A35" s="36" t="s">
        <v>70</v>
      </c>
      <c r="C35" s="9" t="s">
        <v>71</v>
      </c>
      <c r="F35" s="10"/>
      <c r="G35" s="10"/>
      <c r="H35" s="10"/>
      <c r="I35" s="10"/>
      <c r="J35" s="10"/>
      <c r="K35" s="3">
        <v>1000</v>
      </c>
      <c r="M35" s="3">
        <v>1000</v>
      </c>
      <c r="N35" s="3">
        <v>1000</v>
      </c>
      <c r="O35" s="3">
        <v>1000</v>
      </c>
      <c r="P35" s="3">
        <v>1000</v>
      </c>
      <c r="Q35" s="3">
        <v>1000</v>
      </c>
      <c r="R35" s="3">
        <v>1000</v>
      </c>
      <c r="S35" s="3">
        <v>1000</v>
      </c>
      <c r="T35" s="3">
        <v>1000</v>
      </c>
    </row>
    <row r="36" spans="1:20" outlineLevel="1" x14ac:dyDescent="0.25">
      <c r="A36" s="34"/>
      <c r="C36" s="9"/>
      <c r="F36" s="10"/>
      <c r="G36" s="10"/>
      <c r="H36" s="10"/>
      <c r="I36" s="10"/>
      <c r="J36" s="10"/>
    </row>
    <row r="37" spans="1:20" outlineLevel="1" x14ac:dyDescent="0.25">
      <c r="A37" s="32" t="s">
        <v>72</v>
      </c>
      <c r="C37" s="9" t="s">
        <v>73</v>
      </c>
      <c r="F37" s="10"/>
      <c r="G37" s="10"/>
      <c r="H37" s="10"/>
      <c r="I37" s="10"/>
      <c r="J37" s="10"/>
      <c r="K37" s="37">
        <f>1-plannedDowntime-unplannedDowntime-scrap</f>
        <v>0.62999999999999989</v>
      </c>
      <c r="M37" s="37">
        <f t="shared" ref="M37:R37" si="11">1-plannedDowntime-unplannedDowntime-scrap</f>
        <v>0.62999999999999989</v>
      </c>
      <c r="N37" s="37">
        <f t="shared" si="11"/>
        <v>0.62999999999999989</v>
      </c>
      <c r="O37" s="37">
        <f t="shared" si="11"/>
        <v>0.62999999999999989</v>
      </c>
      <c r="P37" s="37">
        <f t="shared" si="11"/>
        <v>0.62999999999999989</v>
      </c>
      <c r="Q37" s="37">
        <f t="shared" si="11"/>
        <v>0.62999999999999989</v>
      </c>
      <c r="R37" s="37">
        <f t="shared" si="11"/>
        <v>0.62999999999999989</v>
      </c>
      <c r="S37" s="37">
        <f>1-plannedDowntime-unplannedDowntime-scrap</f>
        <v>0.62999999999999989</v>
      </c>
      <c r="T37" s="37">
        <f>1-plannedDowntime-unplannedDowntime-scrap</f>
        <v>0.62999999999999989</v>
      </c>
    </row>
    <row r="38" spans="1:20" outlineLevel="1" x14ac:dyDescent="0.25">
      <c r="A38" s="36" t="s">
        <v>74</v>
      </c>
      <c r="C38" s="9" t="s">
        <v>75</v>
      </c>
      <c r="F38" s="10"/>
      <c r="G38" s="10"/>
      <c r="H38" s="10"/>
      <c r="I38" s="10"/>
      <c r="J38" s="10"/>
      <c r="K38" s="38">
        <v>0.12</v>
      </c>
      <c r="M38" s="38">
        <v>0.12</v>
      </c>
      <c r="N38" s="38">
        <v>0.12</v>
      </c>
      <c r="O38" s="38">
        <v>0.12</v>
      </c>
      <c r="P38" s="38">
        <v>0.12</v>
      </c>
      <c r="Q38" s="38">
        <v>0.12</v>
      </c>
      <c r="R38" s="38">
        <v>0.12</v>
      </c>
      <c r="S38" s="38">
        <v>0.12</v>
      </c>
      <c r="T38" s="38">
        <v>0.12</v>
      </c>
    </row>
    <row r="39" spans="1:20" outlineLevel="1" x14ac:dyDescent="0.25">
      <c r="A39" s="36" t="s">
        <v>76</v>
      </c>
      <c r="C39" s="9" t="s">
        <v>77</v>
      </c>
      <c r="F39" s="10"/>
      <c r="G39" s="10"/>
      <c r="H39" s="10"/>
      <c r="I39" s="10"/>
      <c r="J39" s="10"/>
      <c r="K39" s="38">
        <v>0.2</v>
      </c>
      <c r="M39" s="38">
        <v>0.2</v>
      </c>
      <c r="N39" s="38">
        <v>0.2</v>
      </c>
      <c r="O39" s="38">
        <v>0.2</v>
      </c>
      <c r="P39" s="38">
        <v>0.2</v>
      </c>
      <c r="Q39" s="38">
        <v>0.2</v>
      </c>
      <c r="R39" s="38">
        <v>0.2</v>
      </c>
      <c r="S39" s="38">
        <v>0.2</v>
      </c>
      <c r="T39" s="38">
        <v>0.2</v>
      </c>
    </row>
    <row r="40" spans="1:20" outlineLevel="1" x14ac:dyDescent="0.25">
      <c r="A40" s="36" t="s">
        <v>78</v>
      </c>
      <c r="C40" s="9" t="s">
        <v>79</v>
      </c>
      <c r="F40" s="10"/>
      <c r="G40" s="10"/>
      <c r="H40" s="10"/>
      <c r="I40" s="10"/>
      <c r="J40" s="10"/>
      <c r="K40" s="38">
        <v>0.05</v>
      </c>
      <c r="M40" s="38">
        <v>0.05</v>
      </c>
      <c r="N40" s="38">
        <v>0.05</v>
      </c>
      <c r="O40" s="38">
        <v>0.05</v>
      </c>
      <c r="P40" s="38">
        <v>0.05</v>
      </c>
      <c r="Q40" s="38">
        <v>0.05</v>
      </c>
      <c r="R40" s="38">
        <v>0.05</v>
      </c>
      <c r="S40" s="38">
        <v>0.05</v>
      </c>
      <c r="T40" s="38">
        <v>0.05</v>
      </c>
    </row>
    <row r="41" spans="1:20" outlineLevel="1" x14ac:dyDescent="0.25">
      <c r="A41" s="34"/>
      <c r="C41" s="9"/>
      <c r="F41" s="10"/>
      <c r="G41" s="10"/>
      <c r="H41" s="10"/>
      <c r="I41" s="10"/>
      <c r="J41" s="10"/>
    </row>
    <row r="42" spans="1:20" outlineLevel="1" x14ac:dyDescent="0.25">
      <c r="A42" s="32" t="s">
        <v>80</v>
      </c>
      <c r="C42" s="9"/>
      <c r="F42" s="10"/>
      <c r="G42" s="10"/>
      <c r="H42" s="10"/>
      <c r="I42" s="10"/>
      <c r="J42" s="10"/>
      <c r="K42" s="39">
        <f>1-(holidays+development+unstaffedDays+unusedDays)/365</f>
        <v>0.60018452210236162</v>
      </c>
      <c r="M42" s="39">
        <f t="shared" ref="M42:R42" si="12">1-(holidays+development+unstaffedDays+unusedDays)/365</f>
        <v>0.60018452210236162</v>
      </c>
      <c r="N42" s="39">
        <f t="shared" si="12"/>
        <v>0.60018452210236162</v>
      </c>
      <c r="O42" s="39">
        <f t="shared" si="12"/>
        <v>0.60018452210236162</v>
      </c>
      <c r="P42" s="39">
        <f t="shared" si="12"/>
        <v>0.60018452210236162</v>
      </c>
      <c r="Q42" s="39">
        <f t="shared" si="12"/>
        <v>0.60018452210236162</v>
      </c>
      <c r="R42" s="39">
        <f t="shared" si="12"/>
        <v>0</v>
      </c>
      <c r="S42" s="39">
        <f>1-(holidays+development+unstaffedDays+unusedDays)/365</f>
        <v>0.60018452210236162</v>
      </c>
      <c r="T42" s="39">
        <f>1-(holidays+development+unstaffedDays+unusedDays)/365</f>
        <v>0.60018452210236162</v>
      </c>
    </row>
    <row r="43" spans="1:20" outlineLevel="1" x14ac:dyDescent="0.25">
      <c r="A43" s="36" t="s">
        <v>81</v>
      </c>
      <c r="C43" s="9" t="s">
        <v>82</v>
      </c>
      <c r="D43" s="5" t="s">
        <v>83</v>
      </c>
      <c r="F43" s="10"/>
      <c r="G43" s="10"/>
      <c r="H43" s="10"/>
      <c r="I43" s="10"/>
      <c r="J43" s="10"/>
      <c r="K43" s="40">
        <v>12</v>
      </c>
      <c r="M43" s="40">
        <v>12</v>
      </c>
      <c r="N43" s="40">
        <v>12</v>
      </c>
      <c r="O43" s="40">
        <v>12</v>
      </c>
      <c r="P43" s="40">
        <v>12</v>
      </c>
      <c r="Q43" s="40">
        <v>12</v>
      </c>
      <c r="R43" s="40">
        <v>12</v>
      </c>
      <c r="S43" s="40">
        <v>12</v>
      </c>
      <c r="T43" s="40">
        <v>12</v>
      </c>
    </row>
    <row r="44" spans="1:20" outlineLevel="1" x14ac:dyDescent="0.25">
      <c r="A44" s="36" t="s">
        <v>84</v>
      </c>
      <c r="C44" s="9" t="s">
        <v>85</v>
      </c>
      <c r="D44" s="5" t="s">
        <v>83</v>
      </c>
      <c r="F44" s="10"/>
      <c r="G44" s="10"/>
      <c r="H44" s="10"/>
      <c r="I44" s="10"/>
      <c r="J44" s="10"/>
      <c r="K44" s="40">
        <v>15</v>
      </c>
      <c r="M44" s="40">
        <v>15</v>
      </c>
      <c r="N44" s="40">
        <v>15</v>
      </c>
      <c r="O44" s="40">
        <v>15</v>
      </c>
      <c r="P44" s="40">
        <v>15</v>
      </c>
      <c r="Q44" s="40">
        <v>15</v>
      </c>
      <c r="R44" s="40">
        <v>15</v>
      </c>
      <c r="S44" s="40">
        <v>15</v>
      </c>
      <c r="T44" s="40">
        <v>15</v>
      </c>
    </row>
    <row r="45" spans="1:20" outlineLevel="1" x14ac:dyDescent="0.25">
      <c r="A45" s="36" t="s">
        <v>86</v>
      </c>
      <c r="C45" s="9" t="s">
        <v>87</v>
      </c>
      <c r="D45" s="5" t="s">
        <v>83</v>
      </c>
      <c r="F45" s="10"/>
      <c r="G45" s="10"/>
      <c r="H45" s="10"/>
      <c r="I45" s="10"/>
      <c r="J45" s="10"/>
      <c r="K45" s="40">
        <v>104</v>
      </c>
      <c r="M45" s="40">
        <v>104</v>
      </c>
      <c r="N45" s="40">
        <v>104</v>
      </c>
      <c r="O45" s="40">
        <v>104</v>
      </c>
      <c r="P45" s="40">
        <v>104</v>
      </c>
      <c r="Q45" s="40">
        <v>104</v>
      </c>
      <c r="R45" s="40">
        <v>104</v>
      </c>
      <c r="S45" s="40">
        <v>104</v>
      </c>
      <c r="T45" s="40">
        <v>104</v>
      </c>
    </row>
    <row r="46" spans="1:20" outlineLevel="1" x14ac:dyDescent="0.25">
      <c r="A46" s="36" t="s">
        <v>88</v>
      </c>
      <c r="C46" s="9" t="s">
        <v>89</v>
      </c>
      <c r="D46" s="5" t="s">
        <v>83</v>
      </c>
      <c r="F46" s="10"/>
      <c r="G46" s="10"/>
      <c r="H46" s="10"/>
      <c r="I46" s="10"/>
      <c r="J46" s="10"/>
      <c r="K46" s="33">
        <f>365-daysNeeded-holidays-development-unstaffedDays</f>
        <v>14.932649432638016</v>
      </c>
      <c r="M46" s="33">
        <f t="shared" ref="M46:R46" si="13">365-daysNeeded-holidays-development-unstaffedDays</f>
        <v>14.932649432638016</v>
      </c>
      <c r="N46" s="33">
        <f t="shared" si="13"/>
        <v>14.932649432638016</v>
      </c>
      <c r="O46" s="33">
        <f t="shared" si="13"/>
        <v>14.932649432638016</v>
      </c>
      <c r="P46" s="33">
        <f t="shared" si="13"/>
        <v>14.932649432638016</v>
      </c>
      <c r="Q46" s="33">
        <f t="shared" si="13"/>
        <v>14.932649432638016</v>
      </c>
      <c r="R46" s="33">
        <f t="shared" si="13"/>
        <v>234</v>
      </c>
      <c r="S46" s="33">
        <f>365-daysNeeded-holidays-development-unstaffedDays</f>
        <v>14.932649432638016</v>
      </c>
      <c r="T46" s="33">
        <f>365-daysNeeded-holidays-development-unstaffedDays</f>
        <v>14.932649432638016</v>
      </c>
    </row>
    <row r="47" spans="1:20" outlineLevel="1" x14ac:dyDescent="0.25">
      <c r="A47" s="36" t="s">
        <v>90</v>
      </c>
      <c r="C47" s="9" t="s">
        <v>91</v>
      </c>
      <c r="D47" s="5" t="s">
        <v>92</v>
      </c>
      <c r="F47" s="10"/>
      <c r="G47" s="10"/>
      <c r="H47" s="10"/>
      <c r="I47" s="10"/>
      <c r="J47" s="10"/>
      <c r="K47" s="33">
        <f>totalVOL/thruputWhenScheduled/numLINES</f>
        <v>219.06735056736198</v>
      </c>
      <c r="M47" s="33">
        <f t="shared" ref="M47:R47" si="14">totalVOL/thruputWhenScheduled/numLINES</f>
        <v>219.06735056736198</v>
      </c>
      <c r="N47" s="33">
        <f t="shared" si="14"/>
        <v>219.06735056736198</v>
      </c>
      <c r="O47" s="33">
        <f t="shared" si="14"/>
        <v>219.06735056736198</v>
      </c>
      <c r="P47" s="33">
        <f t="shared" si="14"/>
        <v>219.06735056736198</v>
      </c>
      <c r="Q47" s="33">
        <f t="shared" si="14"/>
        <v>219.06735056736198</v>
      </c>
      <c r="R47" s="33">
        <f t="shared" si="14"/>
        <v>-5.7987163318552979E-15</v>
      </c>
      <c r="S47" s="33">
        <f>totalVOL/thruputWhenScheduled/numLINES</f>
        <v>219.06735056736198</v>
      </c>
      <c r="T47" s="33">
        <f>totalVOL/thruputWhenScheduled/numLINES</f>
        <v>219.06735056736198</v>
      </c>
    </row>
    <row r="48" spans="1:20" s="18" customFormat="1" x14ac:dyDescent="0.25">
      <c r="E48" s="19"/>
      <c r="K48" s="19"/>
      <c r="M48" s="19"/>
      <c r="N48" s="19"/>
      <c r="O48" s="19"/>
      <c r="P48" s="19"/>
      <c r="Q48" s="19"/>
      <c r="R48" s="19"/>
      <c r="S48" s="19"/>
      <c r="T48" s="19"/>
    </row>
    <row r="49" spans="1:20" s="18" customFormat="1" x14ac:dyDescent="0.25">
      <c r="E49" s="19"/>
      <c r="K49" s="19"/>
      <c r="M49" s="19"/>
      <c r="N49" s="19"/>
      <c r="O49" s="19"/>
      <c r="P49" s="19"/>
      <c r="Q49" s="19"/>
      <c r="R49" s="19"/>
      <c r="S49" s="19"/>
      <c r="T49" s="19"/>
    </row>
    <row r="50" spans="1:20" s="21" customFormat="1" x14ac:dyDescent="0.25">
      <c r="A50" s="348" t="s">
        <v>181</v>
      </c>
      <c r="B50" s="348"/>
      <c r="C50" s="41" t="s">
        <v>464</v>
      </c>
      <c r="E50" s="42">
        <v>8.2000000000000007E-3</v>
      </c>
      <c r="F50" s="22"/>
      <c r="G50" s="22"/>
      <c r="H50" s="22"/>
      <c r="I50" s="22"/>
      <c r="J50" s="43">
        <v>8.2000000000000007E-3</v>
      </c>
      <c r="K50" s="112" t="s">
        <v>224</v>
      </c>
      <c r="M50" s="112" t="s">
        <v>224</v>
      </c>
      <c r="N50" s="112" t="s">
        <v>224</v>
      </c>
      <c r="O50" s="112" t="s">
        <v>224</v>
      </c>
      <c r="P50" s="112" t="s">
        <v>224</v>
      </c>
      <c r="Q50" s="112" t="s">
        <v>224</v>
      </c>
      <c r="R50" s="112" t="s">
        <v>224</v>
      </c>
      <c r="S50" s="112" t="s">
        <v>224</v>
      </c>
      <c r="T50" s="112" t="s">
        <v>224</v>
      </c>
    </row>
    <row r="52" spans="1:20" s="21" customFormat="1" x14ac:dyDescent="0.25">
      <c r="A52" s="348" t="s">
        <v>182</v>
      </c>
      <c r="B52" s="348"/>
      <c r="C52" s="41" t="s">
        <v>183</v>
      </c>
      <c r="E52" s="42">
        <v>8.2000000000000007E-3</v>
      </c>
      <c r="F52" s="22"/>
      <c r="G52" s="22"/>
      <c r="H52" s="22"/>
      <c r="I52" s="22"/>
      <c r="J52" s="43">
        <v>8.2000000000000007E-3</v>
      </c>
      <c r="K52" s="33">
        <v>8174000000</v>
      </c>
      <c r="M52" s="33">
        <v>8174000000</v>
      </c>
      <c r="N52" s="33">
        <v>8174000000</v>
      </c>
      <c r="O52" s="33">
        <v>8174000000</v>
      </c>
      <c r="P52" s="33">
        <v>8174000000</v>
      </c>
      <c r="Q52" s="33">
        <v>8174000000</v>
      </c>
      <c r="R52" s="33">
        <v>8174000000</v>
      </c>
      <c r="S52" s="33">
        <v>8174000000</v>
      </c>
      <c r="T52" s="33">
        <v>8174000000</v>
      </c>
    </row>
    <row r="54" spans="1:20" s="21" customFormat="1" x14ac:dyDescent="0.25">
      <c r="A54" s="348" t="s">
        <v>93</v>
      </c>
      <c r="B54" s="348"/>
      <c r="C54" s="41" t="s">
        <v>179</v>
      </c>
      <c r="D54" s="21" t="s">
        <v>180</v>
      </c>
      <c r="E54" s="42">
        <v>8.2000000000000007E-3</v>
      </c>
      <c r="F54" s="22"/>
      <c r="G54" s="22"/>
      <c r="H54" s="22"/>
      <c r="I54" s="22"/>
      <c r="J54" s="122">
        <v>8.2000000000000007E-3</v>
      </c>
      <c r="K54" s="213">
        <f>total_matl1+total_matl2</f>
        <v>1.3455483076845376E-2</v>
      </c>
      <c r="M54" s="213">
        <f t="shared" ref="M54:R54" si="15">total_matl1+total_matl2</f>
        <v>-235.01249384316378</v>
      </c>
      <c r="N54" s="213">
        <f t="shared" si="15"/>
        <v>1.3455483076845376E-2</v>
      </c>
      <c r="O54" s="213">
        <f t="shared" si="15"/>
        <v>1.3455483076845376E-2</v>
      </c>
      <c r="P54" s="213">
        <f t="shared" si="15"/>
        <v>1.3455483076845376E-2</v>
      </c>
      <c r="Q54" s="213">
        <f t="shared" si="15"/>
        <v>1.3455483076845376E-2</v>
      </c>
      <c r="R54" s="213">
        <f t="shared" si="15"/>
        <v>1.3455483076845376E-2</v>
      </c>
      <c r="S54" s="213">
        <f>total_matl1+total_matl2</f>
        <v>1.3455483076845376E-2</v>
      </c>
      <c r="T54" s="213">
        <f>total_matl1+total_matl2</f>
        <v>1.3455483076845376E-2</v>
      </c>
    </row>
    <row r="55" spans="1:20" outlineLevel="2" x14ac:dyDescent="0.25">
      <c r="A55" s="10"/>
      <c r="C55" s="9"/>
      <c r="D55" s="5" t="s">
        <v>95</v>
      </c>
      <c r="E55" s="31">
        <f>dollPerPENNYmatcost*totalTHRUPUT</f>
        <v>748154.88000000012</v>
      </c>
      <c r="F55" s="10"/>
      <c r="G55" s="10"/>
      <c r="H55" s="10"/>
      <c r="I55" s="10"/>
      <c r="J55" s="123">
        <f>dollPerPENNYmatcost*totalTHRUPUT</f>
        <v>98295322.080000013</v>
      </c>
      <c r="K55" s="121">
        <f>materials*volume</f>
        <v>109985118.67013411</v>
      </c>
      <c r="M55" s="121">
        <f t="shared" ref="M55:R55" si="16">materials*volume</f>
        <v>-1920992124674.0208</v>
      </c>
      <c r="N55" s="121">
        <f t="shared" si="16"/>
        <v>109985118.67013411</v>
      </c>
      <c r="O55" s="121">
        <f t="shared" si="16"/>
        <v>109985118.67013411</v>
      </c>
      <c r="P55" s="121">
        <f t="shared" si="16"/>
        <v>109985118.67013411</v>
      </c>
      <c r="Q55" s="121">
        <f t="shared" si="16"/>
        <v>109985118.67013411</v>
      </c>
      <c r="R55" s="121">
        <f t="shared" si="16"/>
        <v>109985118.67013411</v>
      </c>
      <c r="S55" s="121">
        <f>materials*volume</f>
        <v>109985118.67013411</v>
      </c>
      <c r="T55" s="121">
        <f>materials*volume</f>
        <v>109985118.67013411</v>
      </c>
    </row>
    <row r="56" spans="1:20" outlineLevel="2" x14ac:dyDescent="0.25">
      <c r="C56" s="9"/>
      <c r="D56" s="5" t="s">
        <v>274</v>
      </c>
      <c r="E56" s="46">
        <f>dollPerPENNYmatcost/dollPerPENNYtotal</f>
        <v>0.41000000000000009</v>
      </c>
      <c r="F56" s="47"/>
      <c r="G56" s="47"/>
      <c r="H56" s="47"/>
      <c r="I56" s="47"/>
      <c r="J56" s="124">
        <f>dollPerPENNYmatcost/dollPerPENNYtotal</f>
        <v>0.41000000000000009</v>
      </c>
      <c r="K56" s="146">
        <f>materials/dollPerPENNYtotal</f>
        <v>0.39801461957347062</v>
      </c>
      <c r="M56" s="146">
        <f t="shared" ref="M56:R56" si="17">materials/dollPerPENNYtotal</f>
        <v>1.0000414803761999</v>
      </c>
      <c r="N56" s="146">
        <f t="shared" si="17"/>
        <v>-2.0873204455979163E-5</v>
      </c>
      <c r="O56" s="146">
        <f t="shared" si="17"/>
        <v>0.61099934601028782</v>
      </c>
      <c r="P56" s="146">
        <f t="shared" si="17"/>
        <v>0.44855407834344446</v>
      </c>
      <c r="Q56" s="146">
        <f t="shared" si="17"/>
        <v>0.40126788030466343</v>
      </c>
      <c r="R56" s="146">
        <f t="shared" si="17"/>
        <v>5.3650982158021624E-16</v>
      </c>
      <c r="S56" s="146">
        <f>materials/dollPerPENNYtotal</f>
        <v>0.39801461957347062</v>
      </c>
      <c r="T56" s="146">
        <f>materials/dollPerPENNYtotal</f>
        <v>0.39801461957347062</v>
      </c>
    </row>
    <row r="57" spans="1:20" outlineLevel="2" x14ac:dyDescent="0.25">
      <c r="C57" s="9"/>
      <c r="E57" s="125"/>
      <c r="F57" s="47"/>
      <c r="G57" s="47"/>
      <c r="H57" s="47"/>
      <c r="I57" s="47"/>
      <c r="J57" s="47"/>
      <c r="K57" s="126"/>
      <c r="M57" s="126"/>
      <c r="N57" s="126"/>
      <c r="O57" s="126"/>
      <c r="P57" s="126"/>
      <c r="Q57" s="126"/>
      <c r="R57" s="126"/>
      <c r="S57" s="126"/>
      <c r="T57" s="126"/>
    </row>
    <row r="58" spans="1:20" outlineLevel="2" x14ac:dyDescent="0.25">
      <c r="A58" s="352" t="s">
        <v>214</v>
      </c>
      <c r="B58" s="352"/>
      <c r="C58" s="9" t="s">
        <v>215</v>
      </c>
      <c r="D58" s="5" t="s">
        <v>216</v>
      </c>
      <c r="E58" s="125"/>
      <c r="F58" s="47"/>
      <c r="G58" s="47"/>
      <c r="H58" s="47"/>
      <c r="I58" s="47"/>
      <c r="J58" s="47"/>
      <c r="K58" s="160">
        <v>2.5</v>
      </c>
      <c r="M58" s="160">
        <v>2.5</v>
      </c>
      <c r="N58" s="160">
        <v>2.5</v>
      </c>
      <c r="O58" s="160">
        <v>2.5</v>
      </c>
      <c r="P58" s="160">
        <v>2.5</v>
      </c>
      <c r="Q58" s="160">
        <v>2.5</v>
      </c>
      <c r="R58" s="160">
        <v>2.5</v>
      </c>
      <c r="S58" s="160">
        <v>2.5</v>
      </c>
      <c r="T58" s="160">
        <v>2.5</v>
      </c>
    </row>
    <row r="59" spans="1:20" outlineLevel="2" x14ac:dyDescent="0.25">
      <c r="C59" s="9"/>
      <c r="E59" s="125"/>
      <c r="F59" s="47"/>
      <c r="G59" s="47"/>
      <c r="H59" s="47"/>
      <c r="I59" s="47"/>
      <c r="J59" s="47"/>
      <c r="K59" s="161"/>
      <c r="M59" s="161"/>
      <c r="N59" s="161"/>
      <c r="O59" s="161"/>
      <c r="P59" s="161"/>
      <c r="Q59" s="161"/>
      <c r="R59" s="161"/>
      <c r="S59" s="161"/>
      <c r="T59" s="161"/>
    </row>
    <row r="60" spans="1:20" outlineLevel="2" x14ac:dyDescent="0.25">
      <c r="A60" s="344" t="s">
        <v>229</v>
      </c>
      <c r="B60" s="344"/>
      <c r="C60" s="9" t="s">
        <v>237</v>
      </c>
      <c r="D60" s="5" t="s">
        <v>245</v>
      </c>
      <c r="E60" s="125"/>
      <c r="F60" s="47"/>
      <c r="G60" s="47"/>
      <c r="H60" s="47"/>
      <c r="I60" s="47"/>
      <c r="J60" s="47"/>
      <c r="K60" s="162">
        <v>19</v>
      </c>
      <c r="M60" s="162">
        <v>19</v>
      </c>
      <c r="N60" s="162">
        <v>19</v>
      </c>
      <c r="O60" s="162">
        <v>19</v>
      </c>
      <c r="P60" s="162">
        <v>19</v>
      </c>
      <c r="Q60" s="162">
        <v>19</v>
      </c>
      <c r="R60" s="162">
        <v>19</v>
      </c>
      <c r="S60" s="162">
        <v>19</v>
      </c>
      <c r="T60" s="162">
        <v>19</v>
      </c>
    </row>
    <row r="61" spans="1:20" outlineLevel="2" x14ac:dyDescent="0.25">
      <c r="A61" s="344" t="s">
        <v>231</v>
      </c>
      <c r="B61" s="344"/>
      <c r="C61" s="9" t="s">
        <v>238</v>
      </c>
      <c r="D61" s="5" t="s">
        <v>245</v>
      </c>
      <c r="E61" s="125"/>
      <c r="F61" s="47"/>
      <c r="G61" s="47"/>
      <c r="H61" s="47"/>
      <c r="I61" s="47"/>
      <c r="J61" s="47"/>
      <c r="K61" s="162">
        <v>2</v>
      </c>
      <c r="M61" s="162">
        <v>2</v>
      </c>
      <c r="N61" s="162">
        <v>2</v>
      </c>
      <c r="O61" s="162">
        <v>2</v>
      </c>
      <c r="P61" s="162">
        <v>2</v>
      </c>
      <c r="Q61" s="162">
        <v>2</v>
      </c>
      <c r="R61" s="162">
        <v>2</v>
      </c>
      <c r="S61" s="162">
        <v>2</v>
      </c>
      <c r="T61" s="162">
        <v>2</v>
      </c>
    </row>
    <row r="62" spans="1:20" outlineLevel="2" x14ac:dyDescent="0.25">
      <c r="A62" s="344" t="s">
        <v>232</v>
      </c>
      <c r="B62" s="344"/>
      <c r="C62" s="9" t="s">
        <v>239</v>
      </c>
      <c r="D62" s="5" t="s">
        <v>245</v>
      </c>
      <c r="E62" s="125"/>
      <c r="F62" s="47"/>
      <c r="G62" s="47"/>
      <c r="H62" s="47"/>
      <c r="I62" s="47"/>
      <c r="J62" s="47"/>
      <c r="K62" s="162">
        <v>2</v>
      </c>
      <c r="M62" s="162">
        <v>2</v>
      </c>
      <c r="N62" s="162">
        <v>2</v>
      </c>
      <c r="O62" s="162">
        <v>2</v>
      </c>
      <c r="P62" s="162">
        <v>2</v>
      </c>
      <c r="Q62" s="162">
        <v>2</v>
      </c>
      <c r="R62" s="162">
        <v>2</v>
      </c>
      <c r="S62" s="162">
        <v>2</v>
      </c>
      <c r="T62" s="162">
        <v>2</v>
      </c>
    </row>
    <row r="63" spans="1:20" outlineLevel="2" x14ac:dyDescent="0.25">
      <c r="A63" s="344" t="s">
        <v>230</v>
      </c>
      <c r="B63" s="344"/>
      <c r="C63" s="9" t="s">
        <v>240</v>
      </c>
      <c r="D63" s="5" t="s">
        <v>245</v>
      </c>
      <c r="E63" s="125"/>
      <c r="F63" s="47"/>
      <c r="G63" s="47"/>
      <c r="H63" s="47"/>
      <c r="I63" s="47"/>
      <c r="J63" s="47"/>
      <c r="K63" s="162">
        <v>2</v>
      </c>
      <c r="M63" s="162">
        <v>2</v>
      </c>
      <c r="N63" s="162">
        <v>2</v>
      </c>
      <c r="O63" s="162">
        <v>2</v>
      </c>
      <c r="P63" s="162">
        <v>2</v>
      </c>
      <c r="Q63" s="162">
        <v>2</v>
      </c>
      <c r="R63" s="162">
        <v>2</v>
      </c>
      <c r="S63" s="162">
        <v>2</v>
      </c>
      <c r="T63" s="162">
        <v>2</v>
      </c>
    </row>
    <row r="64" spans="1:20" outlineLevel="2" x14ac:dyDescent="0.25">
      <c r="A64" s="344" t="s">
        <v>233</v>
      </c>
      <c r="B64" s="344"/>
      <c r="C64" s="9" t="s">
        <v>241</v>
      </c>
      <c r="D64" s="5" t="s">
        <v>246</v>
      </c>
      <c r="E64" s="125"/>
      <c r="F64" s="47"/>
      <c r="G64" s="47"/>
      <c r="H64" s="47"/>
      <c r="I64" s="47"/>
      <c r="J64" s="47"/>
      <c r="K64" s="137">
        <f>PI()*diameter^2/4</f>
        <v>283.5287369864788</v>
      </c>
      <c r="M64" s="137">
        <f t="shared" ref="M64:R64" si="18">PI()*diameter^2/4</f>
        <v>283.5287369864788</v>
      </c>
      <c r="N64" s="137">
        <f t="shared" si="18"/>
        <v>283.5287369864788</v>
      </c>
      <c r="O64" s="137">
        <f t="shared" si="18"/>
        <v>283.5287369864788</v>
      </c>
      <c r="P64" s="137">
        <f t="shared" si="18"/>
        <v>283.5287369864788</v>
      </c>
      <c r="Q64" s="137">
        <f t="shared" si="18"/>
        <v>283.5287369864788</v>
      </c>
      <c r="R64" s="137">
        <f t="shared" si="18"/>
        <v>283.5287369864788</v>
      </c>
      <c r="S64" s="137">
        <f>PI()*diameter^2/4</f>
        <v>283.5287369864788</v>
      </c>
      <c r="T64" s="137">
        <f>PI()*diameter^2/4</f>
        <v>283.5287369864788</v>
      </c>
    </row>
    <row r="65" spans="1:109" outlineLevel="2" x14ac:dyDescent="0.25">
      <c r="A65" s="344" t="s">
        <v>234</v>
      </c>
      <c r="B65" s="344"/>
      <c r="C65" s="9" t="s">
        <v>242</v>
      </c>
      <c r="D65" s="5" t="s">
        <v>246</v>
      </c>
      <c r="E65" s="125"/>
      <c r="F65" s="47"/>
      <c r="G65" s="47"/>
      <c r="H65" s="47"/>
      <c r="I65" s="47"/>
      <c r="J65" s="47"/>
      <c r="K65" s="137">
        <f>(trim_a+trim_b/2+diameter)*(diameter+trim_c)</f>
        <v>462</v>
      </c>
      <c r="M65" s="137">
        <f t="shared" ref="M65:R65" si="19">(trim_a+trim_b/2+diameter)*(diameter+trim_c)</f>
        <v>462</v>
      </c>
      <c r="N65" s="137">
        <f t="shared" si="19"/>
        <v>462</v>
      </c>
      <c r="O65" s="137">
        <f t="shared" si="19"/>
        <v>462</v>
      </c>
      <c r="P65" s="137">
        <f t="shared" si="19"/>
        <v>462</v>
      </c>
      <c r="Q65" s="137">
        <f t="shared" si="19"/>
        <v>462</v>
      </c>
      <c r="R65" s="137">
        <f t="shared" si="19"/>
        <v>462</v>
      </c>
      <c r="S65" s="137">
        <f>(trim_a+trim_b/2+diameter)*(diameter+trim_c)</f>
        <v>462</v>
      </c>
      <c r="T65" s="137">
        <f>(trim_a+trim_b/2+diameter)*(diameter+trim_c)</f>
        <v>462</v>
      </c>
    </row>
    <row r="66" spans="1:109" outlineLevel="2" x14ac:dyDescent="0.25">
      <c r="A66" s="344" t="s">
        <v>235</v>
      </c>
      <c r="B66" s="344"/>
      <c r="C66" s="9" t="s">
        <v>243</v>
      </c>
      <c r="D66" s="5" t="s">
        <v>198</v>
      </c>
      <c r="E66" s="125"/>
      <c r="F66" s="47"/>
      <c r="G66" s="47"/>
      <c r="H66" s="47"/>
      <c r="I66" s="47"/>
      <c r="J66" s="47"/>
      <c r="K66" s="162">
        <v>100</v>
      </c>
      <c r="M66" s="162">
        <v>100</v>
      </c>
      <c r="N66" s="162">
        <v>100</v>
      </c>
      <c r="O66" s="162">
        <v>100</v>
      </c>
      <c r="P66" s="162">
        <v>100</v>
      </c>
      <c r="Q66" s="162">
        <v>100</v>
      </c>
      <c r="R66" s="162">
        <v>100</v>
      </c>
      <c r="S66" s="162">
        <v>100</v>
      </c>
      <c r="T66" s="162">
        <v>100</v>
      </c>
    </row>
    <row r="67" spans="1:109" outlineLevel="2" x14ac:dyDescent="0.25">
      <c r="A67" s="344" t="s">
        <v>236</v>
      </c>
      <c r="B67" s="344"/>
      <c r="C67" s="9" t="s">
        <v>244</v>
      </c>
      <c r="D67" s="5" t="s">
        <v>247</v>
      </c>
      <c r="E67" s="125"/>
      <c r="F67" s="47"/>
      <c r="G67" s="47"/>
      <c r="H67" s="47"/>
      <c r="I67" s="47"/>
      <c r="J67" s="47"/>
      <c r="K67" s="138">
        <f>p_paid_usmint*(area_need/area_penny-1)/100</f>
        <v>0.62946445891314462</v>
      </c>
      <c r="M67" s="138">
        <f t="shared" ref="M67:R67" si="20">p_paid_usmint*(area_need/area_penny-1)/100</f>
        <v>0.62946445891314462</v>
      </c>
      <c r="N67" s="138">
        <f t="shared" si="20"/>
        <v>0.62946445891314462</v>
      </c>
      <c r="O67" s="138">
        <f t="shared" si="20"/>
        <v>0.62946445891314462</v>
      </c>
      <c r="P67" s="138">
        <f t="shared" si="20"/>
        <v>0.62946445891314462</v>
      </c>
      <c r="Q67" s="138">
        <f t="shared" si="20"/>
        <v>0.62946445891314462</v>
      </c>
      <c r="R67" s="138">
        <f t="shared" si="20"/>
        <v>0.62946445891314462</v>
      </c>
      <c r="S67" s="138">
        <f>p_paid_usmint*(area_need/area_penny-1)/100</f>
        <v>0.62946445891314462</v>
      </c>
      <c r="T67" s="138">
        <f>p_paid_usmint*(area_need/area_penny-1)/100</f>
        <v>0.62946445891314462</v>
      </c>
    </row>
    <row r="68" spans="1:109" s="18" customFormat="1" ht="5.45" customHeight="1" outlineLevel="2" x14ac:dyDescent="0.25">
      <c r="C68" s="80"/>
      <c r="E68" s="139"/>
      <c r="F68" s="132"/>
      <c r="G68" s="132"/>
      <c r="H68" s="132"/>
      <c r="I68" s="132"/>
      <c r="J68" s="132"/>
      <c r="K68" s="140"/>
      <c r="M68" s="140"/>
      <c r="N68" s="140"/>
      <c r="O68" s="140"/>
      <c r="P68" s="140"/>
      <c r="Q68" s="140"/>
      <c r="R68" s="140"/>
      <c r="S68" s="140"/>
      <c r="T68" s="140"/>
    </row>
    <row r="69" spans="1:109" ht="18.75" outlineLevel="2" x14ac:dyDescent="0.25">
      <c r="A69" s="345" t="s">
        <v>202</v>
      </c>
      <c r="B69" s="346"/>
      <c r="C69" s="149" t="s">
        <v>220</v>
      </c>
      <c r="D69" s="129"/>
      <c r="E69" s="129"/>
      <c r="F69" s="129"/>
      <c r="G69" s="129"/>
      <c r="H69" s="129"/>
      <c r="I69" s="129"/>
      <c r="J69" s="129"/>
      <c r="K69" s="184">
        <f>cust_matl1+proc_matl1+rel_matl1+log_matl1+cred_matl1+other_matl1</f>
        <v>1.019308190272374E-3</v>
      </c>
      <c r="M69" s="184">
        <f t="shared" ref="M69:R69" si="21">cust_matl1+proc_matl1+rel_matl1+log_matl1+cred_matl1+other_matl1</f>
        <v>-342.02205426718405</v>
      </c>
      <c r="N69" s="184">
        <f t="shared" si="21"/>
        <v>1.019308190272374E-3</v>
      </c>
      <c r="O69" s="184">
        <f t="shared" si="21"/>
        <v>1.019308190272374E-3</v>
      </c>
      <c r="P69" s="184">
        <f t="shared" si="21"/>
        <v>1.019308190272374E-3</v>
      </c>
      <c r="Q69" s="184">
        <f t="shared" si="21"/>
        <v>1.019308190272374E-3</v>
      </c>
      <c r="R69" s="184">
        <f t="shared" si="21"/>
        <v>1.019308190272374E-3</v>
      </c>
      <c r="S69" s="184">
        <f>cust_matl1+proc_matl1+rel_matl1+log_matl1+cred_matl1+other_matl1</f>
        <v>1.019308190272374E-3</v>
      </c>
      <c r="T69" s="184">
        <f>cust_matl1+proc_matl1+rel_matl1+log_matl1+cred_matl1+other_matl1</f>
        <v>1.019308190272374E-3</v>
      </c>
    </row>
    <row r="70" spans="1:109" ht="15.95" customHeight="1" outlineLevel="2" x14ac:dyDescent="0.25">
      <c r="A70" s="342" t="s">
        <v>184</v>
      </c>
      <c r="B70" s="343"/>
      <c r="C70" s="134" t="s">
        <v>185</v>
      </c>
      <c r="D70" s="182" t="s">
        <v>180</v>
      </c>
      <c r="E70" s="128"/>
      <c r="F70" s="47"/>
      <c r="G70" s="47"/>
      <c r="H70" s="47"/>
      <c r="I70" s="47"/>
      <c r="J70" s="47"/>
      <c r="K70" s="155">
        <f>totalWeight*percentTotalWeight1*pricePerKgMatl1/1000</f>
        <v>5.8999999999999992E-4</v>
      </c>
      <c r="M70" s="155">
        <f t="shared" ref="M70:R70" si="22">totalWeight*percentTotalWeight1*pricePerKgMatl1/1000</f>
        <v>-197.97055879999999</v>
      </c>
      <c r="N70" s="155">
        <f t="shared" si="22"/>
        <v>5.8999999999999992E-4</v>
      </c>
      <c r="O70" s="155">
        <f t="shared" si="22"/>
        <v>5.8999999999999992E-4</v>
      </c>
      <c r="P70" s="155">
        <f t="shared" si="22"/>
        <v>5.8999999999999992E-4</v>
      </c>
      <c r="Q70" s="155">
        <f t="shared" si="22"/>
        <v>5.8999999999999992E-4</v>
      </c>
      <c r="R70" s="155">
        <f t="shared" si="22"/>
        <v>5.8999999999999992E-4</v>
      </c>
      <c r="S70" s="155">
        <f>totalWeight*percentTotalWeight1*pricePerKgMatl1/1000</f>
        <v>5.8999999999999992E-4</v>
      </c>
      <c r="T70" s="155">
        <f>totalWeight*percentTotalWeight1*pricePerKgMatl1/1000</f>
        <v>5.8999999999999992E-4</v>
      </c>
    </row>
    <row r="71" spans="1:109" ht="15.95" customHeight="1" outlineLevel="3" x14ac:dyDescent="0.25">
      <c r="A71" s="144" t="s">
        <v>310</v>
      </c>
      <c r="B71" s="144"/>
      <c r="C71" s="9" t="s">
        <v>311</v>
      </c>
      <c r="D71" s="5" t="s">
        <v>309</v>
      </c>
      <c r="E71" s="128"/>
      <c r="F71" s="47"/>
      <c r="G71" s="47"/>
      <c r="H71" s="47"/>
      <c r="I71" s="47"/>
      <c r="J71" s="47"/>
      <c r="K71" s="137">
        <f>totalWeight*percentTotalWeight1</f>
        <v>6.25E-2</v>
      </c>
      <c r="M71" s="137">
        <f t="shared" ref="M71:R71" si="23">totalWeight*percentTotalWeight1</f>
        <v>-20971.4575</v>
      </c>
      <c r="N71" s="137">
        <f t="shared" si="23"/>
        <v>6.25E-2</v>
      </c>
      <c r="O71" s="137">
        <f t="shared" si="23"/>
        <v>6.25E-2</v>
      </c>
      <c r="P71" s="137">
        <f t="shared" si="23"/>
        <v>6.25E-2</v>
      </c>
      <c r="Q71" s="137">
        <f t="shared" si="23"/>
        <v>6.25E-2</v>
      </c>
      <c r="R71" s="137">
        <f t="shared" si="23"/>
        <v>6.25E-2</v>
      </c>
      <c r="S71" s="137">
        <f>totalWeight*percentTotalWeight1</f>
        <v>6.25E-2</v>
      </c>
      <c r="T71" s="137">
        <f>totalWeight*percentTotalWeight1</f>
        <v>6.25E-2</v>
      </c>
    </row>
    <row r="72" spans="1:109" outlineLevel="3" x14ac:dyDescent="0.25">
      <c r="A72" s="143" t="s">
        <v>211</v>
      </c>
      <c r="B72" s="144"/>
      <c r="C72" s="130" t="s">
        <v>213</v>
      </c>
      <c r="D72" s="5" t="s">
        <v>219</v>
      </c>
      <c r="E72" s="114"/>
      <c r="F72" s="47"/>
      <c r="G72" s="47"/>
      <c r="H72" s="47"/>
      <c r="I72" s="47"/>
      <c r="J72" s="47"/>
      <c r="K72" s="163">
        <v>2.5000000000000001E-2</v>
      </c>
      <c r="M72" s="163">
        <v>-8388.5830000000005</v>
      </c>
      <c r="N72" s="163">
        <v>2.5000000000000001E-2</v>
      </c>
      <c r="O72" s="163">
        <v>2.5000000000000001E-2</v>
      </c>
      <c r="P72" s="163">
        <v>2.5000000000000001E-2</v>
      </c>
      <c r="Q72" s="163">
        <v>2.5000000000000001E-2</v>
      </c>
      <c r="R72" s="163">
        <v>2.5000000000000001E-2</v>
      </c>
      <c r="S72" s="163">
        <v>2.5000000000000001E-2</v>
      </c>
      <c r="T72" s="163">
        <v>2.5000000000000001E-2</v>
      </c>
    </row>
    <row r="73" spans="1:109" s="53" customFormat="1" outlineLevel="3" x14ac:dyDescent="0.25">
      <c r="A73" s="143" t="s">
        <v>212</v>
      </c>
      <c r="B73" s="144"/>
      <c r="C73" s="130" t="s">
        <v>217</v>
      </c>
      <c r="D73" s="5" t="s">
        <v>218</v>
      </c>
      <c r="E73" s="172"/>
      <c r="F73" s="47"/>
      <c r="G73" s="47"/>
      <c r="H73" s="47"/>
      <c r="I73" s="47"/>
      <c r="J73" s="47"/>
      <c r="K73" s="164">
        <v>9.44</v>
      </c>
      <c r="L73" s="5"/>
      <c r="M73" s="164">
        <v>9.44</v>
      </c>
      <c r="N73" s="164">
        <v>9.44</v>
      </c>
      <c r="O73" s="164">
        <v>9.44</v>
      </c>
      <c r="P73" s="164">
        <v>9.44</v>
      </c>
      <c r="Q73" s="164">
        <v>9.44</v>
      </c>
      <c r="R73" s="164">
        <v>9.44</v>
      </c>
      <c r="S73" s="164">
        <v>9.44</v>
      </c>
      <c r="T73" s="164">
        <v>9.44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</row>
    <row r="74" spans="1:109" ht="6" customHeight="1" outlineLevel="2" x14ac:dyDescent="0.25">
      <c r="A74" s="127"/>
      <c r="B74" s="34"/>
      <c r="C74" s="9"/>
      <c r="E74" s="173"/>
      <c r="F74" s="47"/>
      <c r="G74" s="47"/>
      <c r="H74" s="47"/>
      <c r="I74" s="47"/>
      <c r="J74" s="47"/>
      <c r="K74" s="159"/>
      <c r="M74" s="159"/>
      <c r="N74" s="159"/>
      <c r="O74" s="159"/>
      <c r="P74" s="159"/>
      <c r="Q74" s="159"/>
      <c r="R74" s="159"/>
      <c r="S74" s="159"/>
      <c r="T74" s="159"/>
    </row>
    <row r="75" spans="1:109" outlineLevel="2" x14ac:dyDescent="0.25">
      <c r="A75" s="342" t="s">
        <v>191</v>
      </c>
      <c r="B75" s="343"/>
      <c r="C75" s="134" t="s">
        <v>186</v>
      </c>
      <c r="D75" s="182" t="s">
        <v>180</v>
      </c>
      <c r="E75" s="174"/>
      <c r="F75" s="47"/>
      <c r="G75" s="47"/>
      <c r="H75" s="47"/>
      <c r="I75" s="47"/>
      <c r="J75" s="47"/>
      <c r="K75" s="169">
        <f>p_add_process*cust_matl1</f>
        <v>3.7138403075875529E-4</v>
      </c>
      <c r="M75" s="169">
        <f t="shared" ref="M75:R75" si="24">p_add_process*cust_matl1</f>
        <v>-124.61543067577487</v>
      </c>
      <c r="N75" s="169">
        <f t="shared" si="24"/>
        <v>3.7138403075875529E-4</v>
      </c>
      <c r="O75" s="169">
        <f t="shared" si="24"/>
        <v>3.7138403075875529E-4</v>
      </c>
      <c r="P75" s="169">
        <f t="shared" si="24"/>
        <v>3.7138403075875529E-4</v>
      </c>
      <c r="Q75" s="169">
        <f t="shared" si="24"/>
        <v>3.7138403075875529E-4</v>
      </c>
      <c r="R75" s="169">
        <f t="shared" si="24"/>
        <v>3.7138403075875529E-4</v>
      </c>
      <c r="S75" s="169">
        <f>p_add_process*cust_matl1</f>
        <v>3.7138403075875529E-4</v>
      </c>
      <c r="T75" s="169">
        <f>p_add_process*cust_matl1</f>
        <v>3.7138403075875529E-4</v>
      </c>
    </row>
    <row r="76" spans="1:109" s="150" customFormat="1" outlineLevel="2" x14ac:dyDescent="0.25">
      <c r="A76" s="349" t="s">
        <v>192</v>
      </c>
      <c r="B76" s="350"/>
      <c r="C76" s="54" t="s">
        <v>187</v>
      </c>
      <c r="D76" s="72" t="s">
        <v>180</v>
      </c>
      <c r="E76" s="175"/>
      <c r="F76" s="47"/>
      <c r="G76" s="47"/>
      <c r="H76" s="47"/>
      <c r="I76" s="47"/>
      <c r="J76" s="47"/>
      <c r="K76" s="170">
        <f>(cust_matl1+proc_matl1)/(1-p_scrap_matl1)-cust_matl1-proc_matl1</f>
        <v>5.0599159513618752E-5</v>
      </c>
      <c r="L76" s="5"/>
      <c r="M76" s="170">
        <f t="shared" ref="M76:R76" si="25">(cust_matl1+proc_matl1)/(1-p_scrap_matl1)-cust_matl1-proc_matl1</f>
        <v>-16.978209972409203</v>
      </c>
      <c r="N76" s="170">
        <f t="shared" si="25"/>
        <v>5.0599159513618752E-5</v>
      </c>
      <c r="O76" s="170">
        <f t="shared" si="25"/>
        <v>5.0599159513618752E-5</v>
      </c>
      <c r="P76" s="170">
        <f t="shared" si="25"/>
        <v>5.0599159513618752E-5</v>
      </c>
      <c r="Q76" s="170">
        <f t="shared" si="25"/>
        <v>5.0599159513618752E-5</v>
      </c>
      <c r="R76" s="170">
        <f t="shared" si="25"/>
        <v>5.0599159513618752E-5</v>
      </c>
      <c r="S76" s="170">
        <f>(cust_matl1+proc_matl1)/(1-p_scrap_matl1)-cust_matl1-proc_matl1</f>
        <v>5.0599159513618752E-5</v>
      </c>
      <c r="T76" s="170">
        <f>(cust_matl1+proc_matl1)/(1-p_scrap_matl1)-cust_matl1-proc_matl1</f>
        <v>5.0599159513618752E-5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</row>
    <row r="77" spans="1:109" s="53" customFormat="1" outlineLevel="2" x14ac:dyDescent="0.25">
      <c r="A77" s="143" t="s">
        <v>225</v>
      </c>
      <c r="B77" s="144"/>
      <c r="C77" s="130" t="s">
        <v>226</v>
      </c>
      <c r="D77" s="5" t="s">
        <v>228</v>
      </c>
      <c r="E77" s="175"/>
      <c r="F77" s="47"/>
      <c r="G77" s="47"/>
      <c r="H77" s="47"/>
      <c r="I77" s="47"/>
      <c r="J77" s="47"/>
      <c r="K77" s="163">
        <v>0.05</v>
      </c>
      <c r="L77" s="5"/>
      <c r="M77" s="163">
        <v>0.05</v>
      </c>
      <c r="N77" s="163">
        <v>0.05</v>
      </c>
      <c r="O77" s="163">
        <v>0.05</v>
      </c>
      <c r="P77" s="163">
        <v>0.05</v>
      </c>
      <c r="Q77" s="163">
        <v>0.05</v>
      </c>
      <c r="R77" s="163">
        <v>0.05</v>
      </c>
      <c r="S77" s="163">
        <v>0.05</v>
      </c>
      <c r="T77" s="163">
        <v>0.05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</row>
    <row r="78" spans="1:109" outlineLevel="2" x14ac:dyDescent="0.25">
      <c r="A78" s="342" t="s">
        <v>188</v>
      </c>
      <c r="B78" s="343"/>
      <c r="C78" s="134" t="s">
        <v>193</v>
      </c>
      <c r="D78" s="182" t="s">
        <v>180</v>
      </c>
      <c r="E78" s="176"/>
      <c r="F78" s="47"/>
      <c r="G78" s="47"/>
      <c r="H78" s="47"/>
      <c r="I78" s="47"/>
      <c r="J78" s="47"/>
      <c r="K78" s="165">
        <v>0</v>
      </c>
      <c r="M78" s="165">
        <v>0</v>
      </c>
      <c r="N78" s="165">
        <v>0</v>
      </c>
      <c r="O78" s="165">
        <v>0</v>
      </c>
      <c r="P78" s="165">
        <v>0</v>
      </c>
      <c r="Q78" s="165">
        <v>0</v>
      </c>
      <c r="R78" s="165">
        <v>0</v>
      </c>
      <c r="S78" s="165">
        <v>0</v>
      </c>
      <c r="T78" s="165">
        <v>0</v>
      </c>
    </row>
    <row r="79" spans="1:109" s="150" customFormat="1" outlineLevel="2" x14ac:dyDescent="0.25">
      <c r="A79" s="349" t="s">
        <v>189</v>
      </c>
      <c r="B79" s="350"/>
      <c r="C79" s="54" t="s">
        <v>194</v>
      </c>
      <c r="D79" s="72" t="s">
        <v>180</v>
      </c>
      <c r="E79" s="57"/>
      <c r="F79" s="47"/>
      <c r="G79" s="47"/>
      <c r="H79" s="47"/>
      <c r="I79" s="47"/>
      <c r="J79" s="47"/>
      <c r="K79" s="156">
        <v>0</v>
      </c>
      <c r="L79" s="5" t="s">
        <v>316</v>
      </c>
      <c r="M79" s="156">
        <v>0</v>
      </c>
      <c r="N79" s="156">
        <v>0</v>
      </c>
      <c r="O79" s="156">
        <v>0</v>
      </c>
      <c r="P79" s="156">
        <v>0</v>
      </c>
      <c r="Q79" s="156">
        <v>0</v>
      </c>
      <c r="R79" s="156">
        <v>0</v>
      </c>
      <c r="S79" s="156">
        <v>0</v>
      </c>
      <c r="T79" s="156">
        <v>0</v>
      </c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</row>
    <row r="80" spans="1:109" outlineLevel="3" x14ac:dyDescent="0.25">
      <c r="A80" s="143" t="s">
        <v>275</v>
      </c>
      <c r="B80" s="144"/>
      <c r="C80" s="147" t="s">
        <v>276</v>
      </c>
      <c r="D80" s="5" t="s">
        <v>277</v>
      </c>
      <c r="E80" s="57"/>
      <c r="F80" s="47"/>
      <c r="G80" s="47"/>
      <c r="H80" s="47"/>
      <c r="I80" s="47"/>
      <c r="J80" s="47"/>
      <c r="K80" s="163">
        <v>0.5</v>
      </c>
      <c r="M80" s="163">
        <v>0.5</v>
      </c>
      <c r="N80" s="163">
        <v>0.5</v>
      </c>
      <c r="O80" s="163">
        <v>0.5</v>
      </c>
      <c r="P80" s="163">
        <v>0.5</v>
      </c>
      <c r="Q80" s="163">
        <v>0.5</v>
      </c>
      <c r="R80" s="163">
        <v>0.5</v>
      </c>
      <c r="S80" s="163">
        <v>0.5</v>
      </c>
      <c r="T80" s="163">
        <v>0.5</v>
      </c>
    </row>
    <row r="81" spans="1:109" outlineLevel="3" x14ac:dyDescent="0.25">
      <c r="A81" s="143" t="s">
        <v>281</v>
      </c>
      <c r="B81" s="144"/>
      <c r="C81" s="147" t="s">
        <v>282</v>
      </c>
      <c r="E81" s="57"/>
      <c r="F81" s="47"/>
      <c r="G81" s="47"/>
      <c r="H81" s="47"/>
      <c r="I81" s="47"/>
      <c r="J81" s="47"/>
      <c r="K81" s="177">
        <f>total_matl1*p_Recycle_Credits</f>
        <v>5.0965409513618702E-4</v>
      </c>
      <c r="M81" s="177">
        <f t="shared" ref="M81:R81" si="26">total_matl1*p_Recycle_Credits</f>
        <v>-171.01102713359202</v>
      </c>
      <c r="N81" s="177">
        <f t="shared" si="26"/>
        <v>5.0965409513618702E-4</v>
      </c>
      <c r="O81" s="177">
        <f t="shared" si="26"/>
        <v>5.0965409513618702E-4</v>
      </c>
      <c r="P81" s="177">
        <f t="shared" si="26"/>
        <v>5.0965409513618702E-4</v>
      </c>
      <c r="Q81" s="177">
        <f t="shared" si="26"/>
        <v>5.0965409513618702E-4</v>
      </c>
      <c r="R81" s="177">
        <f t="shared" si="26"/>
        <v>5.0965409513618702E-4</v>
      </c>
      <c r="S81" s="177">
        <f>total_matl1*p_Recycle_Credits</f>
        <v>5.0965409513618702E-4</v>
      </c>
      <c r="T81" s="177">
        <f>total_matl1*p_Recycle_Credits</f>
        <v>5.0965409513618702E-4</v>
      </c>
    </row>
    <row r="82" spans="1:109" s="150" customFormat="1" outlineLevel="2" x14ac:dyDescent="0.25">
      <c r="A82" s="342" t="s">
        <v>190</v>
      </c>
      <c r="B82" s="343"/>
      <c r="C82" s="134" t="s">
        <v>195</v>
      </c>
      <c r="D82" s="182" t="s">
        <v>180</v>
      </c>
      <c r="E82" s="174"/>
      <c r="F82" s="47"/>
      <c r="G82" s="47"/>
      <c r="H82" s="47"/>
      <c r="I82" s="47"/>
      <c r="J82" s="47"/>
      <c r="K82" s="181">
        <f>(customs_duties_matl1+sales_vat_matl1+carbon_tax_matl1)*MOQ_losses_matl1</f>
        <v>7.325000000000001E-6</v>
      </c>
      <c r="L82" s="5"/>
      <c r="M82" s="181">
        <f t="shared" ref="M82:R82" si="27">(customs_duties_matl1+sales_vat_matl1+carbon_tax_matl1)*MOQ_losses_matl1</f>
        <v>-2.4578548190000005</v>
      </c>
      <c r="N82" s="181">
        <f t="shared" si="27"/>
        <v>7.325000000000001E-6</v>
      </c>
      <c r="O82" s="181">
        <f t="shared" si="27"/>
        <v>7.325000000000001E-6</v>
      </c>
      <c r="P82" s="181">
        <f t="shared" si="27"/>
        <v>7.325000000000001E-6</v>
      </c>
      <c r="Q82" s="181">
        <f t="shared" si="27"/>
        <v>7.325000000000001E-6</v>
      </c>
      <c r="R82" s="181">
        <f t="shared" si="27"/>
        <v>7.325000000000001E-6</v>
      </c>
      <c r="S82" s="181">
        <f>(customs_duties_matl1+sales_vat_matl1+carbon_tax_matl1)*MOQ_losses_matl1</f>
        <v>7.325000000000001E-6</v>
      </c>
      <c r="T82" s="181">
        <f>(customs_duties_matl1+sales_vat_matl1+carbon_tax_matl1)*MOQ_losses_matl1</f>
        <v>7.325000000000001E-6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</row>
    <row r="83" spans="1:109" outlineLevel="3" x14ac:dyDescent="0.25">
      <c r="A83" s="143" t="s">
        <v>278</v>
      </c>
      <c r="B83" s="144"/>
      <c r="C83" s="147" t="s">
        <v>279</v>
      </c>
      <c r="D83" s="5" t="s">
        <v>180</v>
      </c>
      <c r="E83" s="174"/>
      <c r="F83" s="47"/>
      <c r="G83" s="47"/>
      <c r="H83" s="47"/>
      <c r="I83" s="47"/>
      <c r="J83" s="47"/>
      <c r="K83" s="164">
        <v>0</v>
      </c>
      <c r="M83" s="164">
        <v>0</v>
      </c>
      <c r="N83" s="164">
        <v>0</v>
      </c>
      <c r="O83" s="164">
        <v>0</v>
      </c>
      <c r="P83" s="164">
        <v>0</v>
      </c>
      <c r="Q83" s="164">
        <v>0</v>
      </c>
      <c r="R83" s="164">
        <v>0</v>
      </c>
      <c r="S83" s="164">
        <v>0</v>
      </c>
      <c r="T83" s="164">
        <v>0</v>
      </c>
    </row>
    <row r="84" spans="1:109" outlineLevel="3" x14ac:dyDescent="0.25">
      <c r="A84" s="143" t="s">
        <v>280</v>
      </c>
      <c r="B84" s="144"/>
      <c r="C84" s="147" t="s">
        <v>283</v>
      </c>
      <c r="D84" s="5" t="s">
        <v>180</v>
      </c>
      <c r="E84" s="174"/>
      <c r="F84" s="47"/>
      <c r="G84" s="47"/>
      <c r="H84" s="47"/>
      <c r="I84" s="47"/>
      <c r="J84" s="47"/>
      <c r="K84" s="164">
        <v>0</v>
      </c>
      <c r="M84" s="164">
        <v>0</v>
      </c>
      <c r="N84" s="164">
        <v>0</v>
      </c>
      <c r="O84" s="164">
        <v>0</v>
      </c>
      <c r="P84" s="164">
        <v>0</v>
      </c>
      <c r="Q84" s="164">
        <v>0</v>
      </c>
      <c r="R84" s="164">
        <v>0</v>
      </c>
      <c r="S84" s="164">
        <v>0</v>
      </c>
      <c r="T84" s="164">
        <v>0</v>
      </c>
    </row>
    <row r="85" spans="1:109" outlineLevel="3" x14ac:dyDescent="0.25">
      <c r="A85" s="143" t="s">
        <v>468</v>
      </c>
      <c r="B85" s="144"/>
      <c r="C85" s="147" t="s">
        <v>284</v>
      </c>
      <c r="D85" s="5" t="s">
        <v>180</v>
      </c>
      <c r="E85" s="174"/>
      <c r="F85" s="47"/>
      <c r="G85" s="47"/>
      <c r="H85" s="47"/>
      <c r="I85" s="47"/>
      <c r="J85" s="47"/>
      <c r="K85" s="171">
        <f>kWh_penny_matl1*mass_CO2_pkWh_matl1*carbon_tax_per_tonCO2_matl1</f>
        <v>7.3250000000000005E-5</v>
      </c>
      <c r="M85" s="171">
        <f t="shared" ref="M85:R85" si="28">kWh_penny_matl1*mass_CO2_pkWh_matl1*carbon_tax_per_tonCO2_matl1</f>
        <v>-24.578548190000003</v>
      </c>
      <c r="N85" s="171">
        <f t="shared" si="28"/>
        <v>7.3250000000000005E-5</v>
      </c>
      <c r="O85" s="171">
        <f t="shared" si="28"/>
        <v>7.3250000000000005E-5</v>
      </c>
      <c r="P85" s="171">
        <f t="shared" si="28"/>
        <v>7.3250000000000005E-5</v>
      </c>
      <c r="Q85" s="171">
        <f t="shared" si="28"/>
        <v>7.3250000000000005E-5</v>
      </c>
      <c r="R85" s="171">
        <f t="shared" si="28"/>
        <v>7.3250000000000005E-5</v>
      </c>
      <c r="S85" s="171">
        <f>kWh_penny_matl1*mass_CO2_pkWh_matl1*carbon_tax_per_tonCO2_matl1</f>
        <v>7.3250000000000005E-5</v>
      </c>
      <c r="T85" s="171">
        <f>kWh_penny_matl1*mass_CO2_pkWh_matl1*carbon_tax_per_tonCO2_matl1</f>
        <v>7.3250000000000005E-5</v>
      </c>
    </row>
    <row r="86" spans="1:109" outlineLevel="3" x14ac:dyDescent="0.25">
      <c r="A86" s="143" t="s">
        <v>286</v>
      </c>
      <c r="B86" s="144"/>
      <c r="C86" s="147" t="s">
        <v>287</v>
      </c>
      <c r="D86" s="5" t="s">
        <v>292</v>
      </c>
      <c r="E86" s="174"/>
      <c r="F86" s="47"/>
      <c r="G86" s="47"/>
      <c r="H86" s="47"/>
      <c r="I86" s="47"/>
      <c r="J86" s="47"/>
      <c r="K86" s="178">
        <v>20000000</v>
      </c>
      <c r="L86" s="154" t="s">
        <v>315</v>
      </c>
      <c r="M86" s="178">
        <v>20000000</v>
      </c>
      <c r="N86" s="178">
        <v>20000000</v>
      </c>
      <c r="O86" s="178">
        <v>20000000</v>
      </c>
      <c r="P86" s="178">
        <v>20000000</v>
      </c>
      <c r="Q86" s="178">
        <v>20000000</v>
      </c>
      <c r="R86" s="178">
        <v>20000000</v>
      </c>
      <c r="S86" s="178">
        <v>20000000</v>
      </c>
      <c r="T86" s="178">
        <v>20000000</v>
      </c>
    </row>
    <row r="87" spans="1:109" outlineLevel="3" x14ac:dyDescent="0.25">
      <c r="A87" s="143" t="s">
        <v>289</v>
      </c>
      <c r="B87" s="144"/>
      <c r="C87" s="147" t="s">
        <v>288</v>
      </c>
      <c r="D87" s="5" t="s">
        <v>291</v>
      </c>
      <c r="E87" s="174"/>
      <c r="F87" s="47"/>
      <c r="G87" s="47"/>
      <c r="H87" s="47"/>
      <c r="I87" s="47"/>
      <c r="J87" s="47"/>
      <c r="K87" s="179">
        <f>BTU_ton_matl1*0.000293</f>
        <v>5860</v>
      </c>
      <c r="M87" s="179">
        <f t="shared" ref="M87:R87" si="29">BTU_ton_matl1*0.000293</f>
        <v>5860</v>
      </c>
      <c r="N87" s="179">
        <f t="shared" si="29"/>
        <v>5860</v>
      </c>
      <c r="O87" s="179">
        <f t="shared" si="29"/>
        <v>5860</v>
      </c>
      <c r="P87" s="179">
        <f t="shared" si="29"/>
        <v>5860</v>
      </c>
      <c r="Q87" s="179">
        <f t="shared" si="29"/>
        <v>5860</v>
      </c>
      <c r="R87" s="179">
        <f t="shared" si="29"/>
        <v>5860</v>
      </c>
      <c r="S87" s="179">
        <f>BTU_ton_matl1*0.000293</f>
        <v>5860</v>
      </c>
      <c r="T87" s="179">
        <f>BTU_ton_matl1*0.000293</f>
        <v>5860</v>
      </c>
    </row>
    <row r="88" spans="1:109" outlineLevel="3" x14ac:dyDescent="0.25">
      <c r="A88" s="143" t="s">
        <v>469</v>
      </c>
      <c r="B88" s="144"/>
      <c r="C88" s="147" t="s">
        <v>285</v>
      </c>
      <c r="D88" s="5" t="s">
        <v>290</v>
      </c>
      <c r="E88" s="174"/>
      <c r="F88" s="47"/>
      <c r="G88" s="47"/>
      <c r="H88" s="47"/>
      <c r="I88" s="47"/>
      <c r="J88" s="47"/>
      <c r="K88" s="180">
        <f>kWh_ton_matl1*mass_matl1_in1penny*0.00001</f>
        <v>3.6625000000000004E-3</v>
      </c>
      <c r="M88" s="180">
        <f t="shared" ref="M88:R88" si="30">kWh_ton_matl1*mass_matl1_in1penny*0.00001</f>
        <v>-1228.9274095000001</v>
      </c>
      <c r="N88" s="180">
        <f t="shared" si="30"/>
        <v>3.6625000000000004E-3</v>
      </c>
      <c r="O88" s="180">
        <f t="shared" si="30"/>
        <v>3.6625000000000004E-3</v>
      </c>
      <c r="P88" s="180">
        <f t="shared" si="30"/>
        <v>3.6625000000000004E-3</v>
      </c>
      <c r="Q88" s="180">
        <f t="shared" si="30"/>
        <v>3.6625000000000004E-3</v>
      </c>
      <c r="R88" s="180">
        <f t="shared" si="30"/>
        <v>3.6625000000000004E-3</v>
      </c>
      <c r="S88" s="180">
        <f>kWh_ton_matl1*mass_matl1_in1penny*0.00001</f>
        <v>3.6625000000000004E-3</v>
      </c>
      <c r="T88" s="180">
        <f>kWh_ton_matl1*mass_matl1_in1penny*0.00001</f>
        <v>3.6625000000000004E-3</v>
      </c>
    </row>
    <row r="89" spans="1:109" outlineLevel="3" x14ac:dyDescent="0.25">
      <c r="A89" s="143" t="s">
        <v>470</v>
      </c>
      <c r="B89" s="144"/>
      <c r="C89" s="147" t="s">
        <v>293</v>
      </c>
      <c r="D89" s="5" t="s">
        <v>294</v>
      </c>
      <c r="E89" s="174"/>
      <c r="F89" s="47"/>
      <c r="G89" s="47"/>
      <c r="H89" s="47"/>
      <c r="I89" s="47"/>
      <c r="J89" s="47"/>
      <c r="K89" s="166">
        <v>4.0000000000000002E-4</v>
      </c>
      <c r="L89" s="154" t="s">
        <v>314</v>
      </c>
      <c r="M89" s="166">
        <v>4.0000000000000002E-4</v>
      </c>
      <c r="N89" s="166">
        <v>4.0000000000000002E-4</v>
      </c>
      <c r="O89" s="166">
        <v>4.0000000000000002E-4</v>
      </c>
      <c r="P89" s="166">
        <v>4.0000000000000002E-4</v>
      </c>
      <c r="Q89" s="166">
        <v>4.0000000000000002E-4</v>
      </c>
      <c r="R89" s="166">
        <v>4.0000000000000002E-4</v>
      </c>
      <c r="S89" s="166">
        <v>4.0000000000000002E-4</v>
      </c>
      <c r="T89" s="166">
        <v>4.0000000000000002E-4</v>
      </c>
    </row>
    <row r="90" spans="1:109" outlineLevel="3" x14ac:dyDescent="0.25">
      <c r="A90" s="143" t="s">
        <v>471</v>
      </c>
      <c r="B90" s="144"/>
      <c r="C90" s="147" t="s">
        <v>297</v>
      </c>
      <c r="D90" s="5" t="s">
        <v>296</v>
      </c>
      <c r="E90" s="152"/>
      <c r="F90" s="47"/>
      <c r="G90" s="47"/>
      <c r="H90" s="47"/>
      <c r="I90" s="47"/>
      <c r="J90" s="47"/>
      <c r="K90" s="164">
        <v>50</v>
      </c>
      <c r="L90" s="154" t="s">
        <v>312</v>
      </c>
      <c r="M90" s="164">
        <v>50</v>
      </c>
      <c r="N90" s="164">
        <v>50</v>
      </c>
      <c r="O90" s="164">
        <v>50</v>
      </c>
      <c r="P90" s="164">
        <v>50</v>
      </c>
      <c r="Q90" s="164">
        <v>50</v>
      </c>
      <c r="R90" s="164">
        <v>50</v>
      </c>
      <c r="S90" s="164">
        <v>50</v>
      </c>
      <c r="T90" s="164">
        <v>50</v>
      </c>
    </row>
    <row r="91" spans="1:109" outlineLevel="3" x14ac:dyDescent="0.25">
      <c r="A91" s="143" t="s">
        <v>321</v>
      </c>
      <c r="B91" s="144"/>
      <c r="C91" s="147" t="s">
        <v>322</v>
      </c>
      <c r="D91" s="5" t="s">
        <v>198</v>
      </c>
      <c r="E91" s="152"/>
      <c r="F91" s="47"/>
      <c r="G91" s="47"/>
      <c r="H91" s="47"/>
      <c r="I91" s="47"/>
      <c r="J91" s="47"/>
      <c r="K91" s="163">
        <v>0.1</v>
      </c>
      <c r="L91" s="154"/>
      <c r="M91" s="163">
        <v>0.1</v>
      </c>
      <c r="N91" s="163">
        <v>0.1</v>
      </c>
      <c r="O91" s="163">
        <v>0.1</v>
      </c>
      <c r="P91" s="163">
        <v>0.1</v>
      </c>
      <c r="Q91" s="163">
        <v>0.1</v>
      </c>
      <c r="R91" s="163">
        <v>0.1</v>
      </c>
      <c r="S91" s="163">
        <v>0.1</v>
      </c>
      <c r="T91" s="163">
        <v>0.1</v>
      </c>
    </row>
    <row r="92" spans="1:109" outlineLevel="2" x14ac:dyDescent="0.25">
      <c r="A92" s="51"/>
      <c r="C92" s="9"/>
      <c r="E92" s="151"/>
      <c r="F92" s="47"/>
      <c r="G92" s="47"/>
      <c r="H92" s="47"/>
      <c r="I92" s="47"/>
      <c r="J92" s="47"/>
      <c r="K92" s="119"/>
      <c r="M92" s="119"/>
      <c r="N92" s="119"/>
      <c r="O92" s="119"/>
      <c r="P92" s="119"/>
      <c r="Q92" s="119"/>
      <c r="R92" s="119"/>
      <c r="S92" s="119"/>
      <c r="T92" s="119"/>
    </row>
    <row r="93" spans="1:109" outlineLevel="2" x14ac:dyDescent="0.25">
      <c r="A93" s="351" t="s">
        <v>197</v>
      </c>
      <c r="B93" s="344"/>
      <c r="C93" s="9" t="s">
        <v>200</v>
      </c>
      <c r="D93" s="5" t="s">
        <v>180</v>
      </c>
      <c r="E93" s="55"/>
      <c r="F93" s="56"/>
      <c r="G93" s="56"/>
      <c r="H93" s="56"/>
      <c r="I93" s="56"/>
      <c r="J93" s="56"/>
      <c r="K93" s="142">
        <f>cust_matl1+proc_matl1+rel_matl1</f>
        <v>1.011983190272374E-3</v>
      </c>
      <c r="M93" s="142">
        <f t="shared" ref="M93:R93" si="31">cust_matl1+proc_matl1+rel_matl1</f>
        <v>-339.56419944818407</v>
      </c>
      <c r="N93" s="142">
        <f t="shared" si="31"/>
        <v>1.011983190272374E-3</v>
      </c>
      <c r="O93" s="142">
        <f t="shared" si="31"/>
        <v>1.011983190272374E-3</v>
      </c>
      <c r="P93" s="142">
        <f t="shared" si="31"/>
        <v>1.011983190272374E-3</v>
      </c>
      <c r="Q93" s="142">
        <f t="shared" si="31"/>
        <v>1.011983190272374E-3</v>
      </c>
      <c r="R93" s="142">
        <f t="shared" si="31"/>
        <v>1.011983190272374E-3</v>
      </c>
      <c r="S93" s="142">
        <f>cust_matl1+proc_matl1+rel_matl1</f>
        <v>1.011983190272374E-3</v>
      </c>
      <c r="T93" s="142">
        <f>cust_matl1+proc_matl1+rel_matl1</f>
        <v>1.011983190272374E-3</v>
      </c>
    </row>
    <row r="94" spans="1:109" outlineLevel="2" x14ac:dyDescent="0.25">
      <c r="A94" s="344" t="s">
        <v>196</v>
      </c>
      <c r="B94" s="344"/>
      <c r="C94" s="9" t="s">
        <v>201</v>
      </c>
      <c r="D94" s="5" t="s">
        <v>198</v>
      </c>
      <c r="E94" s="57"/>
      <c r="F94" s="47"/>
      <c r="G94" s="47"/>
      <c r="H94" s="47"/>
      <c r="I94" s="47"/>
      <c r="J94" s="47"/>
      <c r="K94" s="120">
        <v>0.2</v>
      </c>
      <c r="M94" s="120">
        <v>0.2</v>
      </c>
      <c r="N94" s="120">
        <v>0.2</v>
      </c>
      <c r="O94" s="120">
        <v>0.2</v>
      </c>
      <c r="P94" s="120">
        <v>0.2</v>
      </c>
      <c r="Q94" s="120">
        <v>0.2</v>
      </c>
      <c r="R94" s="120">
        <v>0.2</v>
      </c>
      <c r="S94" s="120">
        <v>0.2</v>
      </c>
      <c r="T94" s="120">
        <v>0.2</v>
      </c>
    </row>
    <row r="95" spans="1:109" outlineLevel="2" x14ac:dyDescent="0.25">
      <c r="A95" s="118"/>
      <c r="B95" s="118"/>
      <c r="C95" s="9"/>
      <c r="D95" s="5" t="s">
        <v>199</v>
      </c>
      <c r="E95" s="57"/>
      <c r="F95" s="47"/>
      <c r="G95" s="47"/>
      <c r="H95" s="47"/>
      <c r="I95" s="47"/>
      <c r="J95" s="47"/>
      <c r="K95" s="141">
        <f>volume*supPrice_matl1*assumedSupplGM_matl1</f>
        <v>1654390.119457277</v>
      </c>
      <c r="M95" s="141">
        <f t="shared" ref="M95:R95" si="32">volume*supPrice_matl1*assumedSupplGM_matl1</f>
        <v>-555119553257.89136</v>
      </c>
      <c r="N95" s="141">
        <f t="shared" si="32"/>
        <v>1654390.119457277</v>
      </c>
      <c r="O95" s="141">
        <f t="shared" si="32"/>
        <v>1654390.119457277</v>
      </c>
      <c r="P95" s="141">
        <f t="shared" si="32"/>
        <v>1654390.119457277</v>
      </c>
      <c r="Q95" s="141">
        <f t="shared" si="32"/>
        <v>1654390.119457277</v>
      </c>
      <c r="R95" s="141">
        <f t="shared" si="32"/>
        <v>1654390.119457277</v>
      </c>
      <c r="S95" s="141">
        <f>volume*supPrice_matl1*assumedSupplGM_matl1</f>
        <v>1654390.119457277</v>
      </c>
      <c r="T95" s="141">
        <f>volume*supPrice_matl1*assumedSupplGM_matl1</f>
        <v>1654390.119457277</v>
      </c>
    </row>
    <row r="96" spans="1:109" ht="5.45" customHeight="1" outlineLevel="2" x14ac:dyDescent="0.25">
      <c r="A96" s="353"/>
      <c r="B96" s="353"/>
      <c r="C96" s="80"/>
      <c r="D96" s="18"/>
      <c r="E96" s="131"/>
      <c r="F96" s="132"/>
      <c r="G96" s="132"/>
      <c r="H96" s="132"/>
      <c r="I96" s="132"/>
      <c r="J96" s="132"/>
      <c r="K96" s="131"/>
      <c r="M96" s="131"/>
      <c r="N96" s="131"/>
      <c r="O96" s="131"/>
      <c r="P96" s="131"/>
      <c r="Q96" s="131"/>
      <c r="R96" s="131"/>
      <c r="S96" s="131"/>
      <c r="T96" s="131"/>
    </row>
    <row r="97" spans="1:20" ht="18.75" outlineLevel="2" x14ac:dyDescent="0.25">
      <c r="A97" s="345" t="s">
        <v>203</v>
      </c>
      <c r="B97" s="347"/>
      <c r="C97" s="134" t="s">
        <v>223</v>
      </c>
      <c r="D97" s="113"/>
      <c r="E97" s="135"/>
      <c r="F97" s="135"/>
      <c r="G97" s="135"/>
      <c r="H97" s="135"/>
      <c r="I97" s="135"/>
      <c r="J97" s="135"/>
      <c r="K97" s="183">
        <f>cust_matl2+proc_matl2+rel_matl2+log_matl2+cred_matl2+other_matl2</f>
        <v>1.2436174886573002E-2</v>
      </c>
      <c r="M97" s="183">
        <f t="shared" ref="M97:R97" si="33">cust_matl2+proc_matl2+rel_matl2+log_matl2+cred_matl2+other_matl2</f>
        <v>107.00956042402025</v>
      </c>
      <c r="N97" s="183">
        <f t="shared" si="33"/>
        <v>1.2436174886573002E-2</v>
      </c>
      <c r="O97" s="183">
        <f t="shared" si="33"/>
        <v>1.2436174886573002E-2</v>
      </c>
      <c r="P97" s="183">
        <f t="shared" si="33"/>
        <v>1.2436174886573002E-2</v>
      </c>
      <c r="Q97" s="183">
        <f t="shared" si="33"/>
        <v>1.2436174886573002E-2</v>
      </c>
      <c r="R97" s="183">
        <f t="shared" si="33"/>
        <v>1.2436174886573002E-2</v>
      </c>
      <c r="S97" s="183">
        <f>cust_matl2+proc_matl2+rel_matl2+log_matl2+cred_matl2+other_matl2</f>
        <v>1.2436174886573002E-2</v>
      </c>
      <c r="T97" s="183">
        <f>cust_matl2+proc_matl2+rel_matl2+log_matl2+cred_matl2+other_matl2</f>
        <v>1.2436174886573002E-2</v>
      </c>
    </row>
    <row r="98" spans="1:20" outlineLevel="2" x14ac:dyDescent="0.25">
      <c r="A98" s="342" t="s">
        <v>184</v>
      </c>
      <c r="B98" s="343"/>
      <c r="C98" s="134" t="s">
        <v>206</v>
      </c>
      <c r="D98" s="182" t="s">
        <v>180</v>
      </c>
      <c r="E98" s="128"/>
      <c r="F98" s="47"/>
      <c r="G98" s="47"/>
      <c r="H98" s="47"/>
      <c r="I98" s="47"/>
      <c r="J98" s="47"/>
      <c r="K98" s="155">
        <f>totalWeight*percentTotalWeight2*pricePerKgMatl2/1000</f>
        <v>7.239375000000001E-3</v>
      </c>
      <c r="M98" s="155">
        <f t="shared" ref="M98:R98" si="34">totalWeight*percentTotalWeight2*pricePerKgMatl2/1000</f>
        <v>62.292653775000005</v>
      </c>
      <c r="N98" s="155">
        <f t="shared" si="34"/>
        <v>7.239375000000001E-3</v>
      </c>
      <c r="O98" s="155">
        <f t="shared" si="34"/>
        <v>7.239375000000001E-3</v>
      </c>
      <c r="P98" s="155">
        <f t="shared" si="34"/>
        <v>7.239375000000001E-3</v>
      </c>
      <c r="Q98" s="155">
        <f t="shared" si="34"/>
        <v>7.239375000000001E-3</v>
      </c>
      <c r="R98" s="155">
        <f t="shared" si="34"/>
        <v>7.239375000000001E-3</v>
      </c>
      <c r="S98" s="155">
        <f>totalWeight*percentTotalWeight2*pricePerKgMatl2/1000</f>
        <v>7.239375000000001E-3</v>
      </c>
      <c r="T98" s="155">
        <f>totalWeight*percentTotalWeight2*pricePerKgMatl2/1000</f>
        <v>7.239375000000001E-3</v>
      </c>
    </row>
    <row r="99" spans="1:20" outlineLevel="3" x14ac:dyDescent="0.25">
      <c r="A99" s="144" t="s">
        <v>307</v>
      </c>
      <c r="B99" s="144"/>
      <c r="C99" s="9" t="s">
        <v>308</v>
      </c>
      <c r="D99" s="5" t="s">
        <v>309</v>
      </c>
      <c r="E99" s="128"/>
      <c r="F99" s="47"/>
      <c r="G99" s="47"/>
      <c r="H99" s="47"/>
      <c r="I99" s="47"/>
      <c r="J99" s="47"/>
      <c r="K99" s="137">
        <f>percentTotalWeight2*totalWeight</f>
        <v>2.4375</v>
      </c>
      <c r="M99" s="137">
        <f t="shared" ref="M99:R99" si="35">percentTotalWeight2*totalWeight</f>
        <v>20973.9575</v>
      </c>
      <c r="N99" s="137">
        <f t="shared" si="35"/>
        <v>2.4375</v>
      </c>
      <c r="O99" s="137">
        <f t="shared" si="35"/>
        <v>2.4375</v>
      </c>
      <c r="P99" s="137">
        <f t="shared" si="35"/>
        <v>2.4375</v>
      </c>
      <c r="Q99" s="137">
        <f t="shared" si="35"/>
        <v>2.4375</v>
      </c>
      <c r="R99" s="137">
        <f t="shared" si="35"/>
        <v>2.4375</v>
      </c>
      <c r="S99" s="137">
        <f>percentTotalWeight2*totalWeight</f>
        <v>2.4375</v>
      </c>
      <c r="T99" s="137">
        <f>percentTotalWeight2*totalWeight</f>
        <v>2.4375</v>
      </c>
    </row>
    <row r="100" spans="1:20" outlineLevel="3" x14ac:dyDescent="0.25">
      <c r="A100" s="143" t="s">
        <v>211</v>
      </c>
      <c r="B100" s="144"/>
      <c r="C100" s="130" t="s">
        <v>221</v>
      </c>
      <c r="D100" s="5" t="s">
        <v>219</v>
      </c>
      <c r="E100" s="114"/>
      <c r="F100" s="47"/>
      <c r="G100" s="47"/>
      <c r="H100" s="47"/>
      <c r="I100" s="47"/>
      <c r="J100" s="47"/>
      <c r="K100" s="168">
        <f>1-percentTotalWeight1</f>
        <v>0.97499999999999998</v>
      </c>
      <c r="M100" s="168">
        <f t="shared" ref="M100:R100" si="36">1-percentTotalWeight1</f>
        <v>8389.5830000000005</v>
      </c>
      <c r="N100" s="168">
        <f t="shared" si="36"/>
        <v>0.97499999999999998</v>
      </c>
      <c r="O100" s="168">
        <f t="shared" si="36"/>
        <v>0.97499999999999998</v>
      </c>
      <c r="P100" s="168">
        <f t="shared" si="36"/>
        <v>0.97499999999999998</v>
      </c>
      <c r="Q100" s="168">
        <f t="shared" si="36"/>
        <v>0.97499999999999998</v>
      </c>
      <c r="R100" s="168">
        <f t="shared" si="36"/>
        <v>0.97499999999999998</v>
      </c>
      <c r="S100" s="168">
        <f>1-percentTotalWeight1</f>
        <v>0.97499999999999998</v>
      </c>
      <c r="T100" s="168">
        <f>1-percentTotalWeight1</f>
        <v>0.97499999999999998</v>
      </c>
    </row>
    <row r="101" spans="1:20" outlineLevel="3" x14ac:dyDescent="0.25">
      <c r="A101" s="143" t="s">
        <v>212</v>
      </c>
      <c r="B101" s="144"/>
      <c r="C101" s="130" t="s">
        <v>222</v>
      </c>
      <c r="D101" s="5" t="s">
        <v>218</v>
      </c>
      <c r="E101" s="114"/>
      <c r="F101" s="47"/>
      <c r="G101" s="47"/>
      <c r="H101" s="47"/>
      <c r="I101" s="47"/>
      <c r="J101" s="47"/>
      <c r="K101" s="164">
        <v>2.97</v>
      </c>
      <c r="M101" s="164">
        <v>2.97</v>
      </c>
      <c r="N101" s="164">
        <v>2.97</v>
      </c>
      <c r="O101" s="164">
        <v>2.97</v>
      </c>
      <c r="P101" s="164">
        <v>2.97</v>
      </c>
      <c r="Q101" s="164">
        <v>2.97</v>
      </c>
      <c r="R101" s="164">
        <v>2.97</v>
      </c>
      <c r="S101" s="164">
        <v>2.97</v>
      </c>
      <c r="T101" s="164">
        <v>2.97</v>
      </c>
    </row>
    <row r="102" spans="1:20" ht="8.4499999999999993" customHeight="1" outlineLevel="2" x14ac:dyDescent="0.25">
      <c r="A102" s="127"/>
      <c r="B102" s="34"/>
      <c r="C102" s="130"/>
      <c r="E102" s="114"/>
      <c r="F102" s="47"/>
      <c r="G102" s="47"/>
      <c r="H102" s="47"/>
      <c r="I102" s="47"/>
      <c r="J102" s="47"/>
      <c r="K102" s="133"/>
      <c r="M102" s="133"/>
      <c r="N102" s="133"/>
      <c r="O102" s="133"/>
      <c r="P102" s="133"/>
      <c r="Q102" s="133"/>
      <c r="R102" s="133"/>
      <c r="S102" s="133"/>
      <c r="T102" s="133"/>
    </row>
    <row r="103" spans="1:20" outlineLevel="2" x14ac:dyDescent="0.25">
      <c r="A103" s="342" t="s">
        <v>191</v>
      </c>
      <c r="B103" s="343"/>
      <c r="C103" s="134" t="s">
        <v>207</v>
      </c>
      <c r="D103" s="182" t="s">
        <v>180</v>
      </c>
      <c r="E103" s="115"/>
      <c r="F103" s="50"/>
      <c r="G103" s="50"/>
      <c r="H103" s="50"/>
      <c r="I103" s="50"/>
      <c r="J103" s="50"/>
      <c r="K103" s="169">
        <f>p_add_process*cust_matl2</f>
        <v>4.5569292672443468E-3</v>
      </c>
      <c r="M103" s="169">
        <f t="shared" ref="M103:R103" si="37">p_add_process*cust_matl2</f>
        <v>39.211011602744236</v>
      </c>
      <c r="N103" s="169">
        <f t="shared" si="37"/>
        <v>4.5569292672443468E-3</v>
      </c>
      <c r="O103" s="169">
        <f t="shared" si="37"/>
        <v>4.5569292672443468E-3</v>
      </c>
      <c r="P103" s="169">
        <f t="shared" si="37"/>
        <v>4.5569292672443468E-3</v>
      </c>
      <c r="Q103" s="169">
        <f t="shared" si="37"/>
        <v>4.5569292672443468E-3</v>
      </c>
      <c r="R103" s="169">
        <f t="shared" si="37"/>
        <v>4.5569292672443468E-3</v>
      </c>
      <c r="S103" s="169">
        <f>p_add_process*cust_matl2</f>
        <v>4.5569292672443468E-3</v>
      </c>
      <c r="T103" s="169">
        <f>p_add_process*cust_matl2</f>
        <v>4.5569292672443468E-3</v>
      </c>
    </row>
    <row r="104" spans="1:20" outlineLevel="2" x14ac:dyDescent="0.25">
      <c r="A104" s="349" t="s">
        <v>192</v>
      </c>
      <c r="B104" s="350"/>
      <c r="C104" s="54" t="s">
        <v>208</v>
      </c>
      <c r="D104" s="72" t="s">
        <v>180</v>
      </c>
      <c r="E104" s="116"/>
      <c r="F104" s="47"/>
      <c r="G104" s="47"/>
      <c r="H104" s="47"/>
      <c r="I104" s="47"/>
      <c r="J104" s="47"/>
      <c r="K104" s="170">
        <f>(cust_matl2+proc_matl2)/(1-p_scrap_matl2)-cust_matl2-proc_matl2</f>
        <v>6.2085811932865217E-4</v>
      </c>
      <c r="M104" s="170">
        <f t="shared" ref="M104:R104" si="38">(cust_matl2+proc_matl2)/(1-p_scrap_matl2)-cust_matl2-proc_matl2</f>
        <v>5.3422981777760157</v>
      </c>
      <c r="N104" s="170">
        <f t="shared" si="38"/>
        <v>6.2085811932865217E-4</v>
      </c>
      <c r="O104" s="170">
        <f t="shared" si="38"/>
        <v>6.2085811932865217E-4</v>
      </c>
      <c r="P104" s="170">
        <f t="shared" si="38"/>
        <v>6.2085811932865217E-4</v>
      </c>
      <c r="Q104" s="170">
        <f t="shared" si="38"/>
        <v>6.2085811932865217E-4</v>
      </c>
      <c r="R104" s="170">
        <f t="shared" si="38"/>
        <v>6.2085811932865217E-4</v>
      </c>
      <c r="S104" s="170">
        <f>(cust_matl2+proc_matl2)/(1-p_scrap_matl2)-cust_matl2-proc_matl2</f>
        <v>6.2085811932865217E-4</v>
      </c>
      <c r="T104" s="170">
        <f>(cust_matl2+proc_matl2)/(1-p_scrap_matl2)-cust_matl2-proc_matl2</f>
        <v>6.2085811932865217E-4</v>
      </c>
    </row>
    <row r="105" spans="1:20" outlineLevel="2" x14ac:dyDescent="0.25">
      <c r="A105" s="144" t="s">
        <v>225</v>
      </c>
      <c r="B105" s="144"/>
      <c r="C105" s="130" t="s">
        <v>227</v>
      </c>
      <c r="D105" s="5" t="s">
        <v>228</v>
      </c>
      <c r="E105" s="116"/>
      <c r="F105" s="47"/>
      <c r="G105" s="47"/>
      <c r="H105" s="47"/>
      <c r="I105" s="47"/>
      <c r="J105" s="47"/>
      <c r="K105" s="136">
        <f>p_scrap_matl1</f>
        <v>0.05</v>
      </c>
      <c r="M105" s="136">
        <f t="shared" ref="M105:R105" si="39">p_scrap_matl1</f>
        <v>0.05</v>
      </c>
      <c r="N105" s="136">
        <f t="shared" si="39"/>
        <v>0.05</v>
      </c>
      <c r="O105" s="136">
        <f t="shared" si="39"/>
        <v>0.05</v>
      </c>
      <c r="P105" s="136">
        <f t="shared" si="39"/>
        <v>0.05</v>
      </c>
      <c r="Q105" s="136">
        <f t="shared" si="39"/>
        <v>0.05</v>
      </c>
      <c r="R105" s="136">
        <f t="shared" si="39"/>
        <v>0.05</v>
      </c>
      <c r="S105" s="136">
        <f>p_scrap_matl1</f>
        <v>0.05</v>
      </c>
      <c r="T105" s="136">
        <f>p_scrap_matl1</f>
        <v>0.05</v>
      </c>
    </row>
    <row r="106" spans="1:20" ht="4.5" customHeight="1" outlineLevel="2" x14ac:dyDescent="0.25">
      <c r="A106" s="34"/>
      <c r="B106" s="34"/>
      <c r="C106" s="130"/>
      <c r="E106" s="157"/>
      <c r="F106" s="47"/>
      <c r="G106" s="47"/>
      <c r="H106" s="47"/>
      <c r="I106" s="47"/>
      <c r="J106" s="47"/>
      <c r="K106" s="158"/>
      <c r="M106" s="158"/>
      <c r="N106" s="158"/>
      <c r="O106" s="158"/>
      <c r="P106" s="158"/>
      <c r="Q106" s="158"/>
      <c r="R106" s="158"/>
      <c r="S106" s="158"/>
      <c r="T106" s="158"/>
    </row>
    <row r="107" spans="1:20" outlineLevel="2" x14ac:dyDescent="0.25">
      <c r="A107" s="342" t="s">
        <v>188</v>
      </c>
      <c r="B107" s="343"/>
      <c r="C107" s="134" t="s">
        <v>209</v>
      </c>
      <c r="D107" s="182" t="s">
        <v>180</v>
      </c>
      <c r="E107" s="117"/>
      <c r="F107" s="56"/>
      <c r="G107" s="56"/>
      <c r="H107" s="56"/>
      <c r="I107" s="56"/>
      <c r="J107" s="56"/>
      <c r="K107" s="165">
        <v>0</v>
      </c>
      <c r="M107" s="165">
        <v>0</v>
      </c>
      <c r="N107" s="165">
        <v>0</v>
      </c>
      <c r="O107" s="165">
        <v>0</v>
      </c>
      <c r="P107" s="165">
        <v>0</v>
      </c>
      <c r="Q107" s="165">
        <v>0</v>
      </c>
      <c r="R107" s="165">
        <v>0</v>
      </c>
      <c r="S107" s="165">
        <v>0</v>
      </c>
      <c r="T107" s="165">
        <v>0</v>
      </c>
    </row>
    <row r="108" spans="1:20" outlineLevel="2" x14ac:dyDescent="0.25">
      <c r="A108" s="349" t="s">
        <v>189</v>
      </c>
      <c r="B108" s="350"/>
      <c r="C108" s="54" t="s">
        <v>210</v>
      </c>
      <c r="D108" s="72" t="s">
        <v>180</v>
      </c>
      <c r="E108" s="57"/>
      <c r="F108" s="47"/>
      <c r="G108" s="47"/>
      <c r="H108" s="47"/>
      <c r="I108" s="47"/>
      <c r="J108" s="47"/>
      <c r="K108" s="165">
        <v>0</v>
      </c>
      <c r="M108" s="165">
        <v>0</v>
      </c>
      <c r="N108" s="165">
        <v>0</v>
      </c>
      <c r="O108" s="165">
        <v>0</v>
      </c>
      <c r="P108" s="165">
        <v>0</v>
      </c>
      <c r="Q108" s="165">
        <v>0</v>
      </c>
      <c r="R108" s="165">
        <v>0</v>
      </c>
      <c r="S108" s="165">
        <v>0</v>
      </c>
      <c r="T108" s="165">
        <v>0</v>
      </c>
    </row>
    <row r="109" spans="1:20" outlineLevel="3" x14ac:dyDescent="0.25">
      <c r="A109" s="143" t="s">
        <v>317</v>
      </c>
      <c r="B109" s="143"/>
      <c r="C109" s="9"/>
      <c r="E109" s="57"/>
      <c r="F109" s="47"/>
      <c r="G109" s="47"/>
      <c r="H109" s="47"/>
      <c r="I109" s="47"/>
      <c r="J109" s="47"/>
      <c r="K109" s="163">
        <v>0.5</v>
      </c>
      <c r="M109" s="163">
        <v>0.5</v>
      </c>
      <c r="N109" s="163">
        <v>0.5</v>
      </c>
      <c r="O109" s="163">
        <v>0.5</v>
      </c>
      <c r="P109" s="163">
        <v>0.5</v>
      </c>
      <c r="Q109" s="163">
        <v>0.5</v>
      </c>
      <c r="R109" s="163">
        <v>0.5</v>
      </c>
      <c r="S109" s="163">
        <v>0.5</v>
      </c>
      <c r="T109" s="163">
        <v>0.5</v>
      </c>
    </row>
    <row r="110" spans="1:20" outlineLevel="3" x14ac:dyDescent="0.25">
      <c r="A110" s="143" t="s">
        <v>318</v>
      </c>
      <c r="B110" s="143"/>
      <c r="C110" s="9"/>
      <c r="E110" s="57"/>
      <c r="F110" s="47"/>
      <c r="G110" s="47"/>
      <c r="H110" s="47"/>
      <c r="I110" s="47"/>
      <c r="J110" s="47"/>
      <c r="K110" s="164"/>
      <c r="M110" s="164"/>
      <c r="N110" s="164"/>
      <c r="O110" s="164"/>
      <c r="P110" s="164"/>
      <c r="Q110" s="164"/>
      <c r="R110" s="164"/>
      <c r="S110" s="164"/>
      <c r="T110" s="164"/>
    </row>
    <row r="111" spans="1:20" ht="6" customHeight="1" outlineLevel="2" x14ac:dyDescent="0.25">
      <c r="A111" s="34"/>
      <c r="B111" s="34"/>
      <c r="C111" s="9"/>
      <c r="E111" s="57"/>
      <c r="F111" s="47"/>
      <c r="G111" s="47"/>
      <c r="H111" s="47"/>
      <c r="I111" s="47"/>
      <c r="J111" s="47"/>
      <c r="K111" s="159"/>
      <c r="M111" s="159"/>
      <c r="N111" s="159"/>
      <c r="O111" s="159"/>
      <c r="P111" s="159"/>
      <c r="Q111" s="159"/>
      <c r="R111" s="159"/>
      <c r="S111" s="159"/>
      <c r="T111" s="159"/>
    </row>
    <row r="112" spans="1:20" outlineLevel="2" x14ac:dyDescent="0.25">
      <c r="A112" s="342" t="s">
        <v>190</v>
      </c>
      <c r="B112" s="343"/>
      <c r="C112" s="134" t="s">
        <v>205</v>
      </c>
      <c r="D112" s="113" t="s">
        <v>180</v>
      </c>
      <c r="E112" s="115"/>
      <c r="F112" s="135"/>
      <c r="G112" s="135"/>
      <c r="H112" s="135"/>
      <c r="I112" s="135"/>
      <c r="J112" s="135"/>
      <c r="K112" s="170">
        <f>(customs_duties_matl2+sales_vat_matl2+carbon_tax_matl2)*MOQ_losses_matl2</f>
        <v>1.9012499999999998E-5</v>
      </c>
      <c r="M112" s="170">
        <f t="shared" ref="M112:R112" si="40">(customs_duties_matl2+sales_vat_matl2+carbon_tax_matl2)*MOQ_losses_matl2</f>
        <v>0.16359686849999999</v>
      </c>
      <c r="N112" s="170">
        <f t="shared" si="40"/>
        <v>1.9012499999999998E-5</v>
      </c>
      <c r="O112" s="170">
        <f t="shared" si="40"/>
        <v>1.9012499999999998E-5</v>
      </c>
      <c r="P112" s="170">
        <f t="shared" si="40"/>
        <v>1.9012499999999998E-5</v>
      </c>
      <c r="Q112" s="170">
        <f t="shared" si="40"/>
        <v>1.9012499999999998E-5</v>
      </c>
      <c r="R112" s="170">
        <f t="shared" si="40"/>
        <v>1.9012499999999998E-5</v>
      </c>
      <c r="S112" s="170">
        <f>(customs_duties_matl2+sales_vat_matl2+carbon_tax_matl2)*MOQ_losses_matl2</f>
        <v>1.9012499999999998E-5</v>
      </c>
      <c r="T112" s="170">
        <f>(customs_duties_matl2+sales_vat_matl2+carbon_tax_matl2)*MOQ_losses_matl2</f>
        <v>1.9012499999999998E-5</v>
      </c>
    </row>
    <row r="113" spans="1:20" outlineLevel="3" x14ac:dyDescent="0.25">
      <c r="A113" s="143" t="s">
        <v>278</v>
      </c>
      <c r="B113" s="144"/>
      <c r="C113" s="147" t="s">
        <v>301</v>
      </c>
      <c r="D113" s="5" t="s">
        <v>180</v>
      </c>
      <c r="E113" s="152"/>
      <c r="F113" s="47"/>
      <c r="G113" s="47"/>
      <c r="H113" s="47"/>
      <c r="I113" s="47"/>
      <c r="J113" s="47"/>
      <c r="K113" s="164">
        <v>0</v>
      </c>
      <c r="M113" s="164">
        <v>0</v>
      </c>
      <c r="N113" s="164">
        <v>0</v>
      </c>
      <c r="O113" s="164">
        <v>0</v>
      </c>
      <c r="P113" s="164">
        <v>0</v>
      </c>
      <c r="Q113" s="164">
        <v>0</v>
      </c>
      <c r="R113" s="164">
        <v>0</v>
      </c>
      <c r="S113" s="164">
        <v>0</v>
      </c>
      <c r="T113" s="164">
        <v>0</v>
      </c>
    </row>
    <row r="114" spans="1:20" outlineLevel="3" x14ac:dyDescent="0.25">
      <c r="A114" s="143" t="s">
        <v>280</v>
      </c>
      <c r="B114" s="144"/>
      <c r="C114" s="147" t="s">
        <v>302</v>
      </c>
      <c r="D114" s="5" t="s">
        <v>180</v>
      </c>
      <c r="E114" s="115"/>
      <c r="F114" s="47"/>
      <c r="G114" s="47"/>
      <c r="H114" s="47"/>
      <c r="I114" s="47"/>
      <c r="J114" s="47"/>
      <c r="K114" s="164">
        <v>0</v>
      </c>
      <c r="M114" s="164">
        <v>0</v>
      </c>
      <c r="N114" s="164">
        <v>0</v>
      </c>
      <c r="O114" s="164">
        <v>0</v>
      </c>
      <c r="P114" s="164">
        <v>0</v>
      </c>
      <c r="Q114" s="164">
        <v>0</v>
      </c>
      <c r="R114" s="164">
        <v>0</v>
      </c>
      <c r="S114" s="164">
        <v>0</v>
      </c>
      <c r="T114" s="164">
        <v>0</v>
      </c>
    </row>
    <row r="115" spans="1:20" outlineLevel="3" x14ac:dyDescent="0.25">
      <c r="A115" s="143" t="s">
        <v>472</v>
      </c>
      <c r="B115" s="144"/>
      <c r="C115" s="147" t="s">
        <v>303</v>
      </c>
      <c r="D115" s="5" t="s">
        <v>180</v>
      </c>
      <c r="E115" s="115"/>
      <c r="F115" s="47"/>
      <c r="G115" s="47"/>
      <c r="H115" s="47"/>
      <c r="I115" s="47"/>
      <c r="J115" s="47"/>
      <c r="K115" s="171">
        <f>carbon_tax_perTonCO2_matl2*mass_CO2_pkWh_matl2*kWh_penny_matl2</f>
        <v>1.9012499999999997E-4</v>
      </c>
      <c r="M115" s="171">
        <f t="shared" ref="M115:R115" si="41">carbon_tax_perTonCO2_matl2*mass_CO2_pkWh_matl2*kWh_penny_matl2</f>
        <v>1.6359686849999999</v>
      </c>
      <c r="N115" s="171">
        <f t="shared" si="41"/>
        <v>1.9012499999999997E-4</v>
      </c>
      <c r="O115" s="171">
        <f t="shared" si="41"/>
        <v>1.9012499999999997E-4</v>
      </c>
      <c r="P115" s="171">
        <f t="shared" si="41"/>
        <v>1.9012499999999997E-4</v>
      </c>
      <c r="Q115" s="171">
        <f t="shared" si="41"/>
        <v>1.9012499999999997E-4</v>
      </c>
      <c r="R115" s="171">
        <f t="shared" si="41"/>
        <v>1.9012499999999997E-4</v>
      </c>
      <c r="S115" s="171">
        <f>carbon_tax_perTonCO2_matl2*mass_CO2_pkWh_matl2*kWh_penny_matl2</f>
        <v>1.9012499999999997E-4</v>
      </c>
      <c r="T115" s="171">
        <f>carbon_tax_perTonCO2_matl2*mass_CO2_pkWh_matl2*kWh_penny_matl2</f>
        <v>1.9012499999999997E-4</v>
      </c>
    </row>
    <row r="116" spans="1:20" outlineLevel="3" x14ac:dyDescent="0.25">
      <c r="A116" s="143" t="s">
        <v>299</v>
      </c>
      <c r="B116" s="144"/>
      <c r="C116" s="147" t="s">
        <v>304</v>
      </c>
      <c r="D116" s="5" t="s">
        <v>291</v>
      </c>
      <c r="E116" s="115"/>
      <c r="F116" s="47"/>
      <c r="G116" s="47"/>
      <c r="H116" s="47"/>
      <c r="I116" s="47"/>
      <c r="J116" s="47"/>
      <c r="K116" s="167">
        <v>3900</v>
      </c>
      <c r="L116" s="154" t="s">
        <v>319</v>
      </c>
      <c r="M116" s="167">
        <v>3900</v>
      </c>
      <c r="N116" s="167">
        <v>3900</v>
      </c>
      <c r="O116" s="167">
        <v>3900</v>
      </c>
      <c r="P116" s="167">
        <v>3900</v>
      </c>
      <c r="Q116" s="167">
        <v>3900</v>
      </c>
      <c r="R116" s="167">
        <v>3900</v>
      </c>
      <c r="S116" s="167">
        <v>3900</v>
      </c>
      <c r="T116" s="167">
        <v>3900</v>
      </c>
    </row>
    <row r="117" spans="1:20" outlineLevel="3" x14ac:dyDescent="0.25">
      <c r="A117" s="143" t="s">
        <v>300</v>
      </c>
      <c r="B117" s="144"/>
      <c r="C117" s="147" t="s">
        <v>305</v>
      </c>
      <c r="D117" s="5" t="s">
        <v>290</v>
      </c>
      <c r="E117" s="115"/>
      <c r="F117" s="47"/>
      <c r="G117" s="47"/>
      <c r="H117" s="47"/>
      <c r="I117" s="47"/>
      <c r="J117" s="47"/>
      <c r="K117" s="153">
        <f>kWh_ton_matl2*mass_matl2_in1penny*0.000001</f>
        <v>9.5062499999999991E-3</v>
      </c>
      <c r="M117" s="153">
        <f t="shared" ref="M117:R117" si="42">kWh_ton_matl2*mass_matl2_in1penny*0.000001</f>
        <v>81.79843425</v>
      </c>
      <c r="N117" s="153">
        <f t="shared" si="42"/>
        <v>9.5062499999999991E-3</v>
      </c>
      <c r="O117" s="153">
        <f t="shared" si="42"/>
        <v>9.5062499999999991E-3</v>
      </c>
      <c r="P117" s="153">
        <f t="shared" si="42"/>
        <v>9.5062499999999991E-3</v>
      </c>
      <c r="Q117" s="153">
        <f t="shared" si="42"/>
        <v>9.5062499999999991E-3</v>
      </c>
      <c r="R117" s="153">
        <f t="shared" si="42"/>
        <v>9.5062499999999991E-3</v>
      </c>
      <c r="S117" s="153">
        <f>kWh_ton_matl2*mass_matl2_in1penny*0.000001</f>
        <v>9.5062499999999991E-3</v>
      </c>
      <c r="T117" s="153">
        <f>kWh_ton_matl2*mass_matl2_in1penny*0.000001</f>
        <v>9.5062499999999991E-3</v>
      </c>
    </row>
    <row r="118" spans="1:20" outlineLevel="3" x14ac:dyDescent="0.25">
      <c r="A118" s="143" t="s">
        <v>306</v>
      </c>
      <c r="B118" s="144"/>
      <c r="C118" s="147" t="s">
        <v>298</v>
      </c>
      <c r="D118" s="5" t="s">
        <v>294</v>
      </c>
      <c r="E118" s="115"/>
      <c r="F118" s="47"/>
      <c r="G118" s="47"/>
      <c r="H118" s="47"/>
      <c r="I118" s="47"/>
      <c r="J118" s="47"/>
      <c r="K118" s="166">
        <v>4.0000000000000002E-4</v>
      </c>
      <c r="L118" s="154" t="s">
        <v>314</v>
      </c>
      <c r="M118" s="166">
        <v>4.0000000000000002E-4</v>
      </c>
      <c r="N118" s="166">
        <v>4.0000000000000002E-4</v>
      </c>
      <c r="O118" s="166">
        <v>4.0000000000000002E-4</v>
      </c>
      <c r="P118" s="166">
        <v>4.0000000000000002E-4</v>
      </c>
      <c r="Q118" s="166">
        <v>4.0000000000000002E-4</v>
      </c>
      <c r="R118" s="166">
        <v>4.0000000000000002E-4</v>
      </c>
      <c r="S118" s="166">
        <v>4.0000000000000002E-4</v>
      </c>
      <c r="T118" s="166">
        <v>4.0000000000000002E-4</v>
      </c>
    </row>
    <row r="119" spans="1:20" outlineLevel="3" x14ac:dyDescent="0.25">
      <c r="A119" s="143" t="s">
        <v>295</v>
      </c>
      <c r="B119" s="144"/>
      <c r="C119" s="147" t="s">
        <v>313</v>
      </c>
      <c r="D119" s="5" t="s">
        <v>296</v>
      </c>
      <c r="E119" s="115"/>
      <c r="F119" s="47"/>
      <c r="G119" s="47"/>
      <c r="H119" s="47"/>
      <c r="I119" s="47"/>
      <c r="J119" s="47"/>
      <c r="K119" s="164">
        <v>50</v>
      </c>
      <c r="L119" s="154" t="s">
        <v>312</v>
      </c>
      <c r="M119" s="164">
        <v>50</v>
      </c>
      <c r="N119" s="164">
        <v>50</v>
      </c>
      <c r="O119" s="164">
        <v>50</v>
      </c>
      <c r="P119" s="164">
        <v>50</v>
      </c>
      <c r="Q119" s="164">
        <v>50</v>
      </c>
      <c r="R119" s="164">
        <v>50</v>
      </c>
      <c r="S119" s="164">
        <v>50</v>
      </c>
      <c r="T119" s="164">
        <v>50</v>
      </c>
    </row>
    <row r="120" spans="1:20" outlineLevel="3" x14ac:dyDescent="0.25">
      <c r="A120" s="143" t="s">
        <v>473</v>
      </c>
      <c r="B120" s="144"/>
      <c r="C120" s="147" t="s">
        <v>320</v>
      </c>
      <c r="D120" s="5" t="s">
        <v>198</v>
      </c>
      <c r="E120" s="115"/>
      <c r="F120" s="47"/>
      <c r="G120" s="47"/>
      <c r="H120" s="47"/>
      <c r="I120" s="47"/>
      <c r="J120" s="47"/>
      <c r="K120" s="163">
        <v>0.1</v>
      </c>
      <c r="L120" s="154"/>
      <c r="M120" s="163">
        <v>0.1</v>
      </c>
      <c r="N120" s="163">
        <v>0.1</v>
      </c>
      <c r="O120" s="163">
        <v>0.1</v>
      </c>
      <c r="P120" s="163">
        <v>0.1</v>
      </c>
      <c r="Q120" s="163">
        <v>0.1</v>
      </c>
      <c r="R120" s="163">
        <v>0.1</v>
      </c>
      <c r="S120" s="163">
        <v>0.1</v>
      </c>
      <c r="T120" s="163">
        <v>0.1</v>
      </c>
    </row>
    <row r="121" spans="1:20" outlineLevel="2" x14ac:dyDescent="0.25">
      <c r="A121" s="51"/>
      <c r="E121" s="58"/>
      <c r="F121" s="47"/>
      <c r="G121" s="47"/>
      <c r="H121" s="47"/>
      <c r="I121" s="47"/>
      <c r="J121" s="47"/>
      <c r="K121" s="119"/>
      <c r="M121" s="119"/>
      <c r="N121" s="119"/>
      <c r="O121" s="119"/>
      <c r="P121" s="119"/>
      <c r="Q121" s="119"/>
      <c r="R121" s="119"/>
      <c r="S121" s="119"/>
      <c r="T121" s="119"/>
    </row>
    <row r="122" spans="1:20" outlineLevel="2" x14ac:dyDescent="0.25">
      <c r="A122" s="351" t="s">
        <v>197</v>
      </c>
      <c r="B122" s="344"/>
      <c r="E122" s="55"/>
      <c r="F122" s="56"/>
      <c r="G122" s="56"/>
      <c r="H122" s="56"/>
      <c r="I122" s="56"/>
      <c r="J122" s="56"/>
      <c r="K122" s="142">
        <f>cust_matl2+proc_matl2+rel_matl2</f>
        <v>1.2417162386573002E-2</v>
      </c>
      <c r="M122" s="142">
        <f t="shared" ref="M122:R122" si="43">cust_matl2+proc_matl2+rel_matl2</f>
        <v>106.84596355552026</v>
      </c>
      <c r="N122" s="142">
        <f t="shared" si="43"/>
        <v>1.2417162386573002E-2</v>
      </c>
      <c r="O122" s="142">
        <f t="shared" si="43"/>
        <v>1.2417162386573002E-2</v>
      </c>
      <c r="P122" s="142">
        <f t="shared" si="43"/>
        <v>1.2417162386573002E-2</v>
      </c>
      <c r="Q122" s="142">
        <f t="shared" si="43"/>
        <v>1.2417162386573002E-2</v>
      </c>
      <c r="R122" s="142">
        <f t="shared" si="43"/>
        <v>1.2417162386573002E-2</v>
      </c>
      <c r="S122" s="142">
        <f>cust_matl2+proc_matl2+rel_matl2</f>
        <v>1.2417162386573002E-2</v>
      </c>
      <c r="T122" s="142">
        <f>cust_matl2+proc_matl2+rel_matl2</f>
        <v>1.2417162386573002E-2</v>
      </c>
    </row>
    <row r="123" spans="1:20" outlineLevel="2" x14ac:dyDescent="0.25">
      <c r="A123" s="344" t="s">
        <v>196</v>
      </c>
      <c r="B123" s="344"/>
      <c r="C123" s="9" t="s">
        <v>204</v>
      </c>
      <c r="D123" s="5" t="s">
        <v>198</v>
      </c>
      <c r="E123" s="57"/>
      <c r="F123" s="47"/>
      <c r="G123" s="47"/>
      <c r="H123" s="47"/>
      <c r="I123" s="47"/>
      <c r="J123" s="47"/>
      <c r="K123" s="120">
        <v>0.2</v>
      </c>
      <c r="M123" s="120">
        <v>0.2</v>
      </c>
      <c r="N123" s="120">
        <v>0.2</v>
      </c>
      <c r="O123" s="120">
        <v>0.2</v>
      </c>
      <c r="P123" s="120">
        <v>0.2</v>
      </c>
      <c r="Q123" s="120">
        <v>0.2</v>
      </c>
      <c r="R123" s="120">
        <v>0.2</v>
      </c>
      <c r="S123" s="120">
        <v>0.2</v>
      </c>
      <c r="T123" s="120">
        <v>0.2</v>
      </c>
    </row>
    <row r="124" spans="1:20" outlineLevel="2" x14ac:dyDescent="0.25">
      <c r="A124" s="118"/>
      <c r="B124" s="118"/>
      <c r="C124" s="9"/>
      <c r="D124" s="5" t="s">
        <v>199</v>
      </c>
      <c r="E124" s="57"/>
      <c r="F124" s="47"/>
      <c r="G124" s="47"/>
      <c r="H124" s="47"/>
      <c r="I124" s="47"/>
      <c r="J124" s="47"/>
      <c r="K124" s="141">
        <f>volume*supPrice_matl2*assumedSupplGM_matl2</f>
        <v>20299577.069569543</v>
      </c>
      <c r="M124" s="141">
        <f t="shared" ref="M124:R124" si="44">volume*supPrice_matl2*assumedSupplGM_matl2</f>
        <v>174671781220.56454</v>
      </c>
      <c r="N124" s="141">
        <f t="shared" si="44"/>
        <v>20299577.069569543</v>
      </c>
      <c r="O124" s="141">
        <f t="shared" si="44"/>
        <v>20299577.069569543</v>
      </c>
      <c r="P124" s="141">
        <f t="shared" si="44"/>
        <v>20299577.069569543</v>
      </c>
      <c r="Q124" s="141">
        <f t="shared" si="44"/>
        <v>20299577.069569543</v>
      </c>
      <c r="R124" s="141">
        <f t="shared" si="44"/>
        <v>20299577.069569543</v>
      </c>
      <c r="S124" s="141">
        <f>volume*supPrice_matl2*assumedSupplGM_matl2</f>
        <v>20299577.069569543</v>
      </c>
      <c r="T124" s="141">
        <f>volume*supPrice_matl2*assumedSupplGM_matl2</f>
        <v>20299577.069569543</v>
      </c>
    </row>
    <row r="125" spans="1:20" s="59" customFormat="1" x14ac:dyDescent="0.25">
      <c r="C125" s="60"/>
      <c r="E125" s="61"/>
      <c r="K125" s="61"/>
      <c r="M125" s="61"/>
      <c r="N125" s="61"/>
      <c r="O125" s="61"/>
      <c r="P125" s="61"/>
      <c r="Q125" s="61"/>
      <c r="R125" s="61"/>
      <c r="S125" s="61"/>
      <c r="T125" s="61"/>
    </row>
    <row r="126" spans="1:20" s="21" customFormat="1" x14ac:dyDescent="0.25">
      <c r="A126" s="62" t="s">
        <v>96</v>
      </c>
      <c r="B126" s="63"/>
      <c r="C126" s="64" t="s">
        <v>429</v>
      </c>
      <c r="D126" s="65" t="s">
        <v>94</v>
      </c>
      <c r="E126" s="66">
        <v>8.6E-3</v>
      </c>
      <c r="J126" s="44">
        <v>8.6E-3</v>
      </c>
      <c r="K126" s="216">
        <f>(fixedmfg)/(volume/numLINES)+variablemfg</f>
        <v>1.279127741973316E-2</v>
      </c>
      <c r="M126" s="216">
        <f>(fixedmfg)/(totalTHRUPUT/numLINES)+variablemfg</f>
        <v>8.2049571562259598E-3</v>
      </c>
      <c r="N126" s="216">
        <f>(fixedmfg)/(totalTHRUPUT/numLINES)+variablemfg</f>
        <v>-644.64448535294946</v>
      </c>
      <c r="O126" s="216">
        <f>(fixedmfg)/(totalTHRUPUT/numLINES)+variablemfg</f>
        <v>7.0235625743454329E-3</v>
      </c>
      <c r="P126" s="216">
        <f>(fixedmfg)/(volume/numLINES)+variablemfg</f>
        <v>1.0881789744102721E-2</v>
      </c>
      <c r="Q126" s="216">
        <f>(fixedmfg)/(volume/numLINES)+variablemfg</f>
        <v>1.2793354869296426E-2</v>
      </c>
      <c r="R126" s="216">
        <f>(fixedmfg)/(volume/numLINES)+variablemfg</f>
        <v>22799689494142.453</v>
      </c>
      <c r="S126" s="216">
        <f>(fixedmfg)/(volume/numLINES)+variablemfg</f>
        <v>1.279127741973316E-2</v>
      </c>
      <c r="T126" s="216">
        <f>(fixedmfg)/(volume/numLINES)+variablemfg</f>
        <v>1.279127741973316E-2</v>
      </c>
    </row>
    <row r="127" spans="1:20" outlineLevel="1" x14ac:dyDescent="0.25">
      <c r="A127" s="51"/>
      <c r="C127" s="9" t="s">
        <v>97</v>
      </c>
      <c r="D127" s="67" t="s">
        <v>95</v>
      </c>
      <c r="E127" s="68">
        <f>dollPerPENNYmanu*totalTHRUPUT</f>
        <v>784650.23999999999</v>
      </c>
      <c r="F127" s="10"/>
      <c r="G127" s="10"/>
      <c r="H127" s="10"/>
      <c r="I127" s="10"/>
      <c r="J127" s="45">
        <f>dollPerPENNYmanu*totalTHRUPUT</f>
        <v>103090215.84</v>
      </c>
      <c r="K127" s="108">
        <f>manufacturing*volume</f>
        <v>104555901.62889884</v>
      </c>
      <c r="M127" s="108">
        <f>manufacturing*totalTHRUPUT</f>
        <v>108518823.03052856</v>
      </c>
      <c r="N127" s="108">
        <f>manufacturing*totalTHRUPUT</f>
        <v>-8526072652376.9707</v>
      </c>
      <c r="O127" s="108">
        <f>manufacturing*totalTHRUPUT</f>
        <v>92893689.697195217</v>
      </c>
      <c r="P127" s="108">
        <f>manufacturing*volume</f>
        <v>88947749.36829564</v>
      </c>
      <c r="Q127" s="108">
        <f>manufacturing*volume</f>
        <v>104572882.70162898</v>
      </c>
      <c r="R127" s="108">
        <f>manufacturing*volume</f>
        <v>1.863646619251204E+23</v>
      </c>
      <c r="S127" s="108">
        <f>manufacturing*volume</f>
        <v>104555901.62889884</v>
      </c>
      <c r="T127" s="108">
        <f>manufacturing*volume</f>
        <v>104555901.62889884</v>
      </c>
    </row>
    <row r="128" spans="1:20" outlineLevel="1" x14ac:dyDescent="0.25">
      <c r="A128" s="51"/>
      <c r="C128" s="9"/>
      <c r="D128" s="67" t="s">
        <v>98</v>
      </c>
      <c r="E128" s="70">
        <f>dollPerPENNYmanu/dollPerPENNYtotal</f>
        <v>0.43000000000000005</v>
      </c>
      <c r="F128" s="47"/>
      <c r="G128" s="47"/>
      <c r="H128" s="47"/>
      <c r="I128" s="47"/>
      <c r="J128" s="48">
        <f>dollPerPENNYmanu/dollPerPENNYtotal</f>
        <v>0.43000000000000005</v>
      </c>
      <c r="K128" s="46">
        <f>dollPerYEARmanu/dollPerYEARtotal</f>
        <v>0.23384038880333854</v>
      </c>
      <c r="M128" s="46">
        <f t="shared" ref="M128:R128" si="45">dollPerYEARmanu/dollPerYEARtotal</f>
        <v>-3.4914303349384191E-5</v>
      </c>
      <c r="N128" s="46">
        <f t="shared" si="45"/>
        <v>1.0000232668975475</v>
      </c>
      <c r="O128" s="46">
        <f t="shared" si="45"/>
        <v>0.31893259536494512</v>
      </c>
      <c r="P128" s="46">
        <f t="shared" si="45"/>
        <v>0.22419283138308435</v>
      </c>
      <c r="Q128" s="46">
        <f t="shared" si="45"/>
        <v>0.23579002383730321</v>
      </c>
      <c r="R128" s="46">
        <f t="shared" si="45"/>
        <v>0.56184069288667882</v>
      </c>
      <c r="S128" s="46">
        <f>dollPerYEARmanu/dollPerYEARtotal</f>
        <v>0.23384038880333854</v>
      </c>
      <c r="T128" s="46">
        <f>dollPerYEARmanu/dollPerYEARtotal</f>
        <v>0.23384038880333854</v>
      </c>
    </row>
    <row r="129" spans="1:25" outlineLevel="1" x14ac:dyDescent="0.25">
      <c r="A129" s="51"/>
      <c r="C129" s="9"/>
      <c r="E129" s="57"/>
      <c r="F129" s="47"/>
      <c r="G129" s="47"/>
      <c r="H129" s="47"/>
      <c r="I129" s="47"/>
      <c r="J129" s="47"/>
      <c r="K129" s="57"/>
      <c r="M129" s="57"/>
      <c r="N129" s="57"/>
      <c r="O129" s="57"/>
      <c r="P129" s="57"/>
      <c r="Q129" s="57"/>
      <c r="R129" s="57"/>
      <c r="S129" s="57"/>
      <c r="T129" s="57"/>
    </row>
    <row r="130" spans="1:25" ht="18.75" outlineLevel="1" x14ac:dyDescent="0.25">
      <c r="A130" s="355" t="s">
        <v>405</v>
      </c>
      <c r="B130" s="356"/>
      <c r="C130" s="254" t="s">
        <v>406</v>
      </c>
      <c r="D130" s="253" t="s">
        <v>407</v>
      </c>
      <c r="E130" s="255"/>
      <c r="F130" s="256"/>
      <c r="G130" s="256"/>
      <c r="H130" s="256"/>
      <c r="I130" s="256"/>
      <c r="J130" s="256"/>
      <c r="K130" s="260">
        <f>staffing+totalDeprPerLineYear+ohPerLinePerYear</f>
        <v>811474.93112947664</v>
      </c>
      <c r="M130" s="260">
        <f t="shared" ref="M130:R130" si="46">staffing+totalDeprPerLineYear+ohPerLinePerYear</f>
        <v>811474.93112947664</v>
      </c>
      <c r="N130" s="260">
        <f t="shared" si="46"/>
        <v>-70463495725.068878</v>
      </c>
      <c r="O130" s="260">
        <f t="shared" si="46"/>
        <v>682341.59779614327</v>
      </c>
      <c r="P130" s="260">
        <f t="shared" si="46"/>
        <v>682341.59779614327</v>
      </c>
      <c r="Q130" s="260">
        <f t="shared" si="46"/>
        <v>811474.93112947664</v>
      </c>
      <c r="R130" s="260">
        <f t="shared" si="46"/>
        <v>-80866.666666666672</v>
      </c>
      <c r="S130" s="260">
        <f>staffing+totalDeprPerLineYear+ohPerLinePerYear</f>
        <v>811474.93112947664</v>
      </c>
      <c r="T130" s="260">
        <f>staffing+totalDeprPerLineYear+ohPerLinePerYear</f>
        <v>811474.93112947664</v>
      </c>
    </row>
    <row r="131" spans="1:25" outlineLevel="1" x14ac:dyDescent="0.25">
      <c r="A131" s="51"/>
      <c r="C131" s="9"/>
      <c r="E131" s="57"/>
      <c r="F131" s="47"/>
      <c r="G131" s="47"/>
      <c r="H131" s="47"/>
      <c r="I131" s="47"/>
      <c r="J131" s="47"/>
      <c r="K131" s="57"/>
      <c r="M131" s="57"/>
      <c r="N131" s="57"/>
      <c r="O131" s="57"/>
      <c r="P131" s="57"/>
      <c r="Q131" s="57"/>
      <c r="R131" s="57"/>
      <c r="S131" s="57"/>
      <c r="T131" s="57"/>
    </row>
    <row r="132" spans="1:25" outlineLevel="1" x14ac:dyDescent="0.25">
      <c r="A132" s="220" t="s">
        <v>335</v>
      </c>
      <c r="B132" s="221"/>
      <c r="C132" s="222" t="s">
        <v>344</v>
      </c>
      <c r="D132" s="223" t="s">
        <v>350</v>
      </c>
      <c r="E132" s="224"/>
      <c r="F132" s="225"/>
      <c r="G132" s="225"/>
      <c r="H132" s="225"/>
      <c r="I132" s="225"/>
      <c r="J132" s="225"/>
      <c r="K132" s="237">
        <f>crews*numPerCrew*costPerPerson</f>
        <v>630000</v>
      </c>
      <c r="M132" s="237">
        <f t="shared" ref="M132:R132" si="47">crews*numPerCrew*costPerPerson</f>
        <v>630000</v>
      </c>
      <c r="N132" s="237">
        <f t="shared" si="47"/>
        <v>-70463677200</v>
      </c>
      <c r="O132" s="237">
        <f t="shared" si="47"/>
        <v>630000</v>
      </c>
      <c r="P132" s="237">
        <f t="shared" si="47"/>
        <v>630000</v>
      </c>
      <c r="Q132" s="237">
        <f t="shared" si="47"/>
        <v>630000</v>
      </c>
      <c r="R132" s="237">
        <f t="shared" si="47"/>
        <v>-210000</v>
      </c>
      <c r="S132" s="237">
        <f>crews*numPerCrew*costPerPerson</f>
        <v>630000</v>
      </c>
      <c r="T132" s="237">
        <f>crews*numPerCrew*costPerPerson</f>
        <v>630000</v>
      </c>
    </row>
    <row r="133" spans="1:25" outlineLevel="2" x14ac:dyDescent="0.25">
      <c r="A133" s="357" t="s">
        <v>336</v>
      </c>
      <c r="B133" s="358"/>
      <c r="C133" s="9" t="s">
        <v>343</v>
      </c>
      <c r="D133" s="150" t="s">
        <v>351</v>
      </c>
      <c r="E133" s="57"/>
      <c r="F133" s="47"/>
      <c r="G133" s="47"/>
      <c r="H133" s="47"/>
      <c r="I133" s="47"/>
      <c r="J133" s="47"/>
      <c r="K133" s="226">
        <f>ROUNDUP(daysNeeded*24/(52*40),0)</f>
        <v>3</v>
      </c>
      <c r="M133" s="226">
        <f t="shared" ref="M133:R133" si="48">ROUNDUP(daysNeeded*24/(52*40),0)</f>
        <v>3</v>
      </c>
      <c r="N133" s="226">
        <f t="shared" si="48"/>
        <v>3</v>
      </c>
      <c r="O133" s="226">
        <f t="shared" si="48"/>
        <v>3</v>
      </c>
      <c r="P133" s="226">
        <f t="shared" si="48"/>
        <v>3</v>
      </c>
      <c r="Q133" s="226">
        <f t="shared" si="48"/>
        <v>3</v>
      </c>
      <c r="R133" s="226">
        <f t="shared" si="48"/>
        <v>-1</v>
      </c>
      <c r="S133" s="226">
        <f>ROUNDUP(daysNeeded*24/(52*40),0)</f>
        <v>3</v>
      </c>
      <c r="T133" s="226">
        <f>ROUNDUP(daysNeeded*24/(52*40),0)</f>
        <v>3</v>
      </c>
    </row>
    <row r="134" spans="1:25" outlineLevel="2" x14ac:dyDescent="0.25">
      <c r="A134" s="143"/>
      <c r="B134" s="143"/>
      <c r="C134" s="9"/>
      <c r="E134" s="57"/>
      <c r="F134" s="47"/>
      <c r="G134" s="47"/>
      <c r="H134" s="47"/>
      <c r="I134" s="47"/>
      <c r="J134" s="47"/>
      <c r="K134" s="57"/>
      <c r="M134" s="57"/>
      <c r="N134" s="57"/>
      <c r="O134" s="57"/>
      <c r="P134" s="57"/>
      <c r="Q134" s="57"/>
      <c r="R134" s="57"/>
      <c r="S134" s="57"/>
      <c r="T134" s="57"/>
    </row>
    <row r="135" spans="1:25" outlineLevel="2" x14ac:dyDescent="0.25">
      <c r="A135" s="338" t="s">
        <v>337</v>
      </c>
      <c r="B135" s="339"/>
      <c r="C135" s="9" t="s">
        <v>357</v>
      </c>
      <c r="D135" s="5" t="s">
        <v>352</v>
      </c>
      <c r="E135" s="57"/>
      <c r="F135" s="47"/>
      <c r="G135" s="47"/>
      <c r="H135" s="47"/>
      <c r="I135" s="47"/>
      <c r="J135" s="47"/>
      <c r="K135" s="229">
        <f>offline+online+qa</f>
        <v>3</v>
      </c>
      <c r="M135" s="229">
        <f t="shared" ref="M135:R135" si="49">offline+online+qa</f>
        <v>3</v>
      </c>
      <c r="N135" s="229">
        <f t="shared" si="49"/>
        <v>-335541.32</v>
      </c>
      <c r="O135" s="229">
        <f t="shared" si="49"/>
        <v>3</v>
      </c>
      <c r="P135" s="229">
        <f t="shared" si="49"/>
        <v>3</v>
      </c>
      <c r="Q135" s="229">
        <f t="shared" si="49"/>
        <v>3</v>
      </c>
      <c r="R135" s="229">
        <f t="shared" si="49"/>
        <v>3</v>
      </c>
      <c r="S135" s="229">
        <f>offline+online+qa</f>
        <v>3</v>
      </c>
      <c r="T135" s="229">
        <f>offline+online+qa</f>
        <v>3</v>
      </c>
    </row>
    <row r="136" spans="1:25" outlineLevel="2" x14ac:dyDescent="0.25">
      <c r="A136" s="338" t="s">
        <v>338</v>
      </c>
      <c r="B136" s="339"/>
      <c r="C136" s="9" t="s">
        <v>345</v>
      </c>
      <c r="D136" s="5" t="s">
        <v>352</v>
      </c>
      <c r="E136" s="57"/>
      <c r="F136" s="47"/>
      <c r="G136" s="47"/>
      <c r="H136" s="47"/>
      <c r="I136" s="47"/>
      <c r="J136" s="47"/>
      <c r="K136" s="227">
        <v>1</v>
      </c>
      <c r="M136" s="227">
        <v>1</v>
      </c>
      <c r="N136" s="227">
        <v>-335543.32</v>
      </c>
      <c r="O136" s="227">
        <v>1</v>
      </c>
      <c r="P136" s="227">
        <v>1</v>
      </c>
      <c r="Q136" s="227">
        <v>1</v>
      </c>
      <c r="R136" s="227">
        <v>1</v>
      </c>
      <c r="S136" s="227">
        <v>1</v>
      </c>
      <c r="T136" s="227">
        <v>1</v>
      </c>
    </row>
    <row r="137" spans="1:25" outlineLevel="2" x14ac:dyDescent="0.25">
      <c r="A137" s="338" t="s">
        <v>356</v>
      </c>
      <c r="B137" s="339"/>
      <c r="C137" s="9" t="s">
        <v>346</v>
      </c>
      <c r="D137" s="5" t="s">
        <v>352</v>
      </c>
      <c r="E137" s="57"/>
      <c r="F137" s="47"/>
      <c r="G137" s="47"/>
      <c r="H137" s="47"/>
      <c r="I137" s="47"/>
      <c r="J137" s="47"/>
      <c r="K137" s="227">
        <v>1</v>
      </c>
      <c r="M137" s="227">
        <v>1</v>
      </c>
      <c r="N137" s="227">
        <v>1</v>
      </c>
      <c r="O137" s="227">
        <v>1</v>
      </c>
      <c r="P137" s="227">
        <v>1</v>
      </c>
      <c r="Q137" s="227">
        <v>1</v>
      </c>
      <c r="R137" s="227">
        <v>1</v>
      </c>
      <c r="S137" s="227">
        <v>1</v>
      </c>
      <c r="T137" s="227">
        <v>1</v>
      </c>
    </row>
    <row r="138" spans="1:25" outlineLevel="2" x14ac:dyDescent="0.25">
      <c r="A138" s="338" t="s">
        <v>339</v>
      </c>
      <c r="B138" s="339"/>
      <c r="C138" s="9" t="s">
        <v>347</v>
      </c>
      <c r="D138" s="5" t="s">
        <v>352</v>
      </c>
      <c r="E138" s="57"/>
      <c r="F138" s="47"/>
      <c r="G138" s="47"/>
      <c r="H138" s="47"/>
      <c r="I138" s="47"/>
      <c r="J138" s="47"/>
      <c r="K138" s="227">
        <v>1</v>
      </c>
      <c r="M138" s="227">
        <v>1</v>
      </c>
      <c r="N138" s="227">
        <v>1</v>
      </c>
      <c r="O138" s="227">
        <v>1</v>
      </c>
      <c r="P138" s="227">
        <v>1</v>
      </c>
      <c r="Q138" s="227">
        <v>1</v>
      </c>
      <c r="R138" s="227">
        <v>1</v>
      </c>
      <c r="S138" s="227">
        <v>1</v>
      </c>
      <c r="T138" s="227">
        <v>1</v>
      </c>
    </row>
    <row r="139" spans="1:25" outlineLevel="2" x14ac:dyDescent="0.25">
      <c r="A139" s="338" t="s">
        <v>340</v>
      </c>
      <c r="B139" s="339"/>
      <c r="C139" s="9" t="s">
        <v>348</v>
      </c>
      <c r="D139" s="5" t="s">
        <v>353</v>
      </c>
      <c r="E139" s="57"/>
      <c r="F139" s="47"/>
      <c r="G139" s="47"/>
      <c r="H139" s="47"/>
      <c r="I139" s="47"/>
      <c r="J139" s="47"/>
      <c r="K139" s="228">
        <f>wages*(1+benefits)</f>
        <v>70000</v>
      </c>
      <c r="M139" s="228">
        <f t="shared" ref="M139:R139" si="50">wages*(1+benefits)</f>
        <v>70000</v>
      </c>
      <c r="N139" s="228">
        <f t="shared" si="50"/>
        <v>70000</v>
      </c>
      <c r="O139" s="228">
        <f t="shared" si="50"/>
        <v>70000</v>
      </c>
      <c r="P139" s="228">
        <f t="shared" si="50"/>
        <v>70000</v>
      </c>
      <c r="Q139" s="228">
        <f t="shared" si="50"/>
        <v>70000</v>
      </c>
      <c r="R139" s="228">
        <f t="shared" si="50"/>
        <v>70000</v>
      </c>
      <c r="S139" s="228">
        <f>wages*(1+benefits)</f>
        <v>70000</v>
      </c>
      <c r="T139" s="228">
        <f>wages*(1+benefits)</f>
        <v>70000</v>
      </c>
    </row>
    <row r="140" spans="1:25" outlineLevel="2" x14ac:dyDescent="0.25">
      <c r="A140" s="338" t="s">
        <v>341</v>
      </c>
      <c r="B140" s="339"/>
      <c r="C140" s="9" t="s">
        <v>355</v>
      </c>
      <c r="D140" s="5" t="s">
        <v>354</v>
      </c>
      <c r="E140" s="57"/>
      <c r="F140" s="47"/>
      <c r="G140" s="47"/>
      <c r="H140" s="47"/>
      <c r="I140" s="47"/>
      <c r="J140" s="47"/>
      <c r="K140" s="228">
        <f>20*2000</f>
        <v>40000</v>
      </c>
      <c r="M140" s="228">
        <f t="shared" ref="M140:R140" si="51">20*2000</f>
        <v>40000</v>
      </c>
      <c r="N140" s="228">
        <f t="shared" si="51"/>
        <v>40000</v>
      </c>
      <c r="O140" s="228">
        <f t="shared" si="51"/>
        <v>40000</v>
      </c>
      <c r="P140" s="228">
        <f t="shared" si="51"/>
        <v>40000</v>
      </c>
      <c r="Q140" s="228">
        <f t="shared" si="51"/>
        <v>40000</v>
      </c>
      <c r="R140" s="228">
        <f t="shared" si="51"/>
        <v>40000</v>
      </c>
      <c r="S140" s="228">
        <f>20*2000</f>
        <v>40000</v>
      </c>
      <c r="T140" s="228">
        <f>20*2000</f>
        <v>40000</v>
      </c>
    </row>
    <row r="141" spans="1:25" outlineLevel="2" x14ac:dyDescent="0.25">
      <c r="A141" s="338" t="s">
        <v>342</v>
      </c>
      <c r="B141" s="339"/>
      <c r="C141" s="9" t="s">
        <v>349</v>
      </c>
      <c r="D141" s="5" t="s">
        <v>198</v>
      </c>
      <c r="E141" s="57"/>
      <c r="F141" s="47"/>
      <c r="G141" s="47"/>
      <c r="H141" s="47"/>
      <c r="I141" s="47"/>
      <c r="J141" s="47"/>
      <c r="K141" s="235">
        <v>0.75</v>
      </c>
      <c r="M141" s="235">
        <v>0.75</v>
      </c>
      <c r="N141" s="235">
        <v>0.75</v>
      </c>
      <c r="O141" s="235">
        <v>0.75</v>
      </c>
      <c r="P141" s="235">
        <v>0.75</v>
      </c>
      <c r="Q141" s="235">
        <v>0.75</v>
      </c>
      <c r="R141" s="235">
        <v>0.75</v>
      </c>
      <c r="S141" s="235">
        <v>0.75</v>
      </c>
      <c r="T141" s="235">
        <v>0.75</v>
      </c>
    </row>
    <row r="142" spans="1:25" outlineLevel="1" x14ac:dyDescent="0.25">
      <c r="A142" s="218"/>
      <c r="C142" s="9"/>
      <c r="E142" s="57"/>
      <c r="F142" s="47"/>
      <c r="G142" s="47"/>
      <c r="H142" s="47"/>
      <c r="I142" s="47"/>
      <c r="J142" s="47"/>
      <c r="K142" s="57"/>
      <c r="M142" s="57"/>
      <c r="N142" s="57"/>
      <c r="O142" s="57"/>
      <c r="P142" s="57"/>
      <c r="Q142" s="57"/>
      <c r="R142" s="57"/>
      <c r="S142" s="57"/>
      <c r="T142" s="57"/>
    </row>
    <row r="143" spans="1:25" outlineLevel="1" x14ac:dyDescent="0.25">
      <c r="A143" s="220" t="s">
        <v>358</v>
      </c>
      <c r="B143" s="221"/>
      <c r="C143" s="222" t="s">
        <v>359</v>
      </c>
      <c r="D143" s="223" t="s">
        <v>95</v>
      </c>
      <c r="E143" s="224"/>
      <c r="F143" s="225"/>
      <c r="G143" s="225"/>
      <c r="H143" s="225"/>
      <c r="I143" s="225"/>
      <c r="J143" s="225"/>
      <c r="K143" s="237">
        <f>equipCostPerYear+buildingCostPerYear</f>
        <v>156681.54269972452</v>
      </c>
      <c r="M143" s="237">
        <f t="shared" ref="M143:R143" si="52">equipCostPerYear+buildingCostPerYear</f>
        <v>156681.54269972452</v>
      </c>
      <c r="N143" s="237">
        <f t="shared" si="52"/>
        <v>156681.54269972452</v>
      </c>
      <c r="O143" s="237">
        <f t="shared" si="52"/>
        <v>27548.209366391187</v>
      </c>
      <c r="P143" s="237">
        <f t="shared" si="52"/>
        <v>27548.209366391187</v>
      </c>
      <c r="Q143" s="237">
        <f t="shared" si="52"/>
        <v>156681.54269972452</v>
      </c>
      <c r="R143" s="237">
        <f t="shared" si="52"/>
        <v>129133.33333333333</v>
      </c>
      <c r="S143" s="237">
        <f>equipCostPerYear+buildingCostPerYear</f>
        <v>156681.54269972452</v>
      </c>
      <c r="T143" s="237">
        <f>equipCostPerYear+buildingCostPerYear</f>
        <v>156681.54269972452</v>
      </c>
      <c r="U143" s="47"/>
      <c r="V143" s="47"/>
      <c r="W143" s="47"/>
      <c r="X143" s="47"/>
      <c r="Y143" s="273"/>
    </row>
    <row r="144" spans="1:25" outlineLevel="1" x14ac:dyDescent="0.25">
      <c r="A144" s="338" t="s">
        <v>401</v>
      </c>
      <c r="B144" s="339"/>
      <c r="C144" s="9" t="s">
        <v>362</v>
      </c>
      <c r="D144" s="5" t="s">
        <v>95</v>
      </c>
      <c r="E144" s="71"/>
      <c r="F144" s="47"/>
      <c r="G144" s="47"/>
      <c r="H144" s="47"/>
      <c r="I144" s="47"/>
      <c r="J144" s="47"/>
      <c r="K144" s="234">
        <f>costPerLine/lifeOfEquipment</f>
        <v>129133.33333333333</v>
      </c>
      <c r="M144" s="234">
        <f>costPerLine/lifeOfEquipment</f>
        <v>129133.33333333333</v>
      </c>
      <c r="N144" s="234">
        <f>costPerLine/lifeOfEquipment</f>
        <v>129133.33333333333</v>
      </c>
      <c r="O144" s="354"/>
      <c r="P144" s="354"/>
      <c r="Q144" s="234">
        <f>costPerLine/lifeOfEquipment</f>
        <v>129133.33333333333</v>
      </c>
      <c r="R144" s="234">
        <f>costPerLine/lifeOfEquipment</f>
        <v>129133.33333333333</v>
      </c>
      <c r="S144" s="234">
        <f>costPerLine/lifeOfEquipment</f>
        <v>129133.33333333333</v>
      </c>
      <c r="T144" s="234">
        <f>costPerLine/lifeOfEquipment</f>
        <v>129133.33333333333</v>
      </c>
      <c r="U144" s="47"/>
      <c r="V144" s="47"/>
      <c r="W144" s="47"/>
      <c r="X144" s="47"/>
      <c r="Y144" s="233"/>
    </row>
    <row r="145" spans="1:25" outlineLevel="1" x14ac:dyDescent="0.25">
      <c r="A145" s="219" t="s">
        <v>360</v>
      </c>
      <c r="B145" s="143"/>
      <c r="C145" s="9" t="s">
        <v>363</v>
      </c>
      <c r="D145" s="5" t="s">
        <v>368</v>
      </c>
      <c r="E145" s="57"/>
      <c r="F145" s="47"/>
      <c r="G145" s="47"/>
      <c r="H145" s="47"/>
      <c r="I145" s="47"/>
      <c r="J145" s="47"/>
      <c r="K145" s="238">
        <f>initCostOfLine+risk+shipping+custom_duties+installation+extra_parts</f>
        <v>1937000</v>
      </c>
      <c r="M145" s="238">
        <f t="shared" ref="M145:R145" si="53">initCostOfLine+risk+shipping+custom_duties+installation+extra_parts</f>
        <v>1937000</v>
      </c>
      <c r="N145" s="238">
        <f t="shared" si="53"/>
        <v>1937000</v>
      </c>
      <c r="O145" s="238">
        <f t="shared" si="53"/>
        <v>1937000</v>
      </c>
      <c r="P145" s="238">
        <f t="shared" si="53"/>
        <v>1937000</v>
      </c>
      <c r="Q145" s="238">
        <f t="shared" si="53"/>
        <v>1937000</v>
      </c>
      <c r="R145" s="238">
        <f t="shared" si="53"/>
        <v>1937000</v>
      </c>
      <c r="S145" s="238">
        <f>initCostOfLine+risk+shipping+custom_duties+installation+extra_parts</f>
        <v>1937000</v>
      </c>
      <c r="T145" s="238">
        <f>initCostOfLine+risk+shipping+custom_duties+installation+extra_parts</f>
        <v>1937000</v>
      </c>
      <c r="U145" s="47"/>
      <c r="V145" s="47"/>
      <c r="W145" s="47"/>
      <c r="X145" s="47"/>
      <c r="Y145" s="272"/>
    </row>
    <row r="146" spans="1:25" outlineLevel="1" x14ac:dyDescent="0.25">
      <c r="A146" s="219" t="s">
        <v>386</v>
      </c>
      <c r="B146" s="143"/>
      <c r="C146" s="9" t="s">
        <v>378</v>
      </c>
      <c r="D146" s="5" t="s">
        <v>368</v>
      </c>
      <c r="E146" s="236"/>
      <c r="F146" s="47"/>
      <c r="G146" s="47"/>
      <c r="H146" s="47"/>
      <c r="I146" s="47"/>
      <c r="J146" s="47"/>
      <c r="K146" s="250">
        <f>receiving_materials+storage_racks+loading_materials+value_add+packaging_consumer+packaging_distribution+loading_truck</f>
        <v>1090000</v>
      </c>
      <c r="M146" s="250">
        <f t="shared" ref="M146:R146" si="54">receiving_materials+storage_racks+loading_materials+value_add+packaging_consumer+packaging_distribution+loading_truck</f>
        <v>1090000</v>
      </c>
      <c r="N146" s="250">
        <f t="shared" si="54"/>
        <v>1090000</v>
      </c>
      <c r="O146" s="250">
        <f t="shared" si="54"/>
        <v>1090000</v>
      </c>
      <c r="P146" s="250">
        <f t="shared" si="54"/>
        <v>1090000</v>
      </c>
      <c r="Q146" s="250">
        <f t="shared" si="54"/>
        <v>1090000</v>
      </c>
      <c r="R146" s="250">
        <f t="shared" si="54"/>
        <v>1090000</v>
      </c>
      <c r="S146" s="250">
        <f>receiving_materials+storage_racks+loading_materials+value_add+packaging_consumer+packaging_distribution+loading_truck</f>
        <v>1090000</v>
      </c>
      <c r="T146" s="250">
        <f>receiving_materials+storage_racks+loading_materials+value_add+packaging_consumer+packaging_distribution+loading_truck</f>
        <v>1090000</v>
      </c>
      <c r="U146" s="47"/>
      <c r="V146" s="47"/>
      <c r="W146" s="47"/>
      <c r="X146" s="47"/>
      <c r="Y146" s="274"/>
    </row>
    <row r="147" spans="1:25" outlineLevel="1" x14ac:dyDescent="0.25">
      <c r="A147" s="338" t="s">
        <v>388</v>
      </c>
      <c r="B147" s="339"/>
      <c r="C147" s="9" t="s">
        <v>371</v>
      </c>
      <c r="D147" s="5" t="s">
        <v>368</v>
      </c>
      <c r="E147" s="236"/>
      <c r="F147" s="47"/>
      <c r="G147" s="47"/>
      <c r="H147" s="47"/>
      <c r="I147" s="47"/>
      <c r="J147" s="47"/>
      <c r="K147" s="240">
        <v>50000</v>
      </c>
      <c r="M147" s="240">
        <v>50000</v>
      </c>
      <c r="N147" s="240">
        <v>50000</v>
      </c>
      <c r="O147" s="240">
        <v>50000</v>
      </c>
      <c r="P147" s="240">
        <v>50000</v>
      </c>
      <c r="Q147" s="240">
        <v>50000</v>
      </c>
      <c r="R147" s="240">
        <v>50000</v>
      </c>
      <c r="S147" s="240">
        <v>50000</v>
      </c>
      <c r="T147" s="240">
        <v>50000</v>
      </c>
    </row>
    <row r="148" spans="1:25" outlineLevel="1" x14ac:dyDescent="0.25">
      <c r="A148" s="338" t="s">
        <v>389</v>
      </c>
      <c r="B148" s="339"/>
      <c r="C148" s="9" t="s">
        <v>372</v>
      </c>
      <c r="D148" s="5" t="s">
        <v>368</v>
      </c>
      <c r="E148" s="236"/>
      <c r="F148" s="47"/>
      <c r="G148" s="47"/>
      <c r="H148" s="47"/>
      <c r="I148" s="47"/>
      <c r="J148" s="47"/>
      <c r="K148" s="240">
        <v>80000</v>
      </c>
      <c r="M148" s="240">
        <v>80000</v>
      </c>
      <c r="N148" s="240">
        <v>80000</v>
      </c>
      <c r="O148" s="240">
        <v>80000</v>
      </c>
      <c r="P148" s="240">
        <v>80000</v>
      </c>
      <c r="Q148" s="240">
        <v>80000</v>
      </c>
      <c r="R148" s="240">
        <v>80000</v>
      </c>
      <c r="S148" s="240">
        <v>80000</v>
      </c>
      <c r="T148" s="240">
        <v>80000</v>
      </c>
    </row>
    <row r="149" spans="1:25" outlineLevel="1" x14ac:dyDescent="0.25">
      <c r="A149" s="338" t="s">
        <v>390</v>
      </c>
      <c r="B149" s="339"/>
      <c r="C149" s="9" t="s">
        <v>373</v>
      </c>
      <c r="D149" s="5" t="s">
        <v>368</v>
      </c>
      <c r="E149" s="236"/>
      <c r="F149" s="47"/>
      <c r="G149" s="47"/>
      <c r="H149" s="47"/>
      <c r="I149" s="47"/>
      <c r="J149" s="47"/>
      <c r="K149" s="240">
        <v>100000</v>
      </c>
      <c r="M149" s="240">
        <v>100000</v>
      </c>
      <c r="N149" s="240">
        <v>100000</v>
      </c>
      <c r="O149" s="240">
        <v>100000</v>
      </c>
      <c r="P149" s="240">
        <v>100000</v>
      </c>
      <c r="Q149" s="240">
        <v>100000</v>
      </c>
      <c r="R149" s="240">
        <v>100000</v>
      </c>
      <c r="S149" s="240">
        <v>100000</v>
      </c>
      <c r="T149" s="240">
        <v>100000</v>
      </c>
    </row>
    <row r="150" spans="1:25" outlineLevel="1" x14ac:dyDescent="0.25">
      <c r="A150" s="338" t="s">
        <v>387</v>
      </c>
      <c r="B150" s="339"/>
      <c r="C150" s="9" t="s">
        <v>374</v>
      </c>
      <c r="D150" s="5" t="s">
        <v>368</v>
      </c>
      <c r="E150" s="236"/>
      <c r="F150" s="47"/>
      <c r="G150" s="47"/>
      <c r="H150" s="47"/>
      <c r="I150" s="47"/>
      <c r="J150" s="47"/>
      <c r="K150" s="240">
        <v>500000</v>
      </c>
      <c r="M150" s="240">
        <v>500000</v>
      </c>
      <c r="N150" s="240">
        <v>500000</v>
      </c>
      <c r="O150" s="240">
        <v>500000</v>
      </c>
      <c r="P150" s="240">
        <v>500000</v>
      </c>
      <c r="Q150" s="240">
        <v>500000</v>
      </c>
      <c r="R150" s="240">
        <v>500000</v>
      </c>
      <c r="S150" s="240">
        <v>500000</v>
      </c>
      <c r="T150" s="240">
        <v>500000</v>
      </c>
    </row>
    <row r="151" spans="1:25" outlineLevel="1" x14ac:dyDescent="0.25">
      <c r="A151" s="338" t="s">
        <v>391</v>
      </c>
      <c r="B151" s="339"/>
      <c r="C151" s="9" t="s">
        <v>375</v>
      </c>
      <c r="D151" s="5" t="s">
        <v>368</v>
      </c>
      <c r="E151" s="236"/>
      <c r="F151" s="47"/>
      <c r="G151" s="47"/>
      <c r="H151" s="47"/>
      <c r="I151" s="47"/>
      <c r="J151" s="47"/>
      <c r="K151" s="240">
        <v>200000</v>
      </c>
      <c r="M151" s="240">
        <v>200000</v>
      </c>
      <c r="N151" s="240">
        <v>200000</v>
      </c>
      <c r="O151" s="240">
        <v>200000</v>
      </c>
      <c r="P151" s="240">
        <v>200000</v>
      </c>
      <c r="Q151" s="240">
        <v>200000</v>
      </c>
      <c r="R151" s="240">
        <v>200000</v>
      </c>
      <c r="S151" s="240">
        <v>200000</v>
      </c>
      <c r="T151" s="240">
        <v>200000</v>
      </c>
    </row>
    <row r="152" spans="1:25" outlineLevel="1" x14ac:dyDescent="0.25">
      <c r="A152" s="338" t="s">
        <v>392</v>
      </c>
      <c r="B152" s="339"/>
      <c r="C152" s="9" t="s">
        <v>376</v>
      </c>
      <c r="D152" s="5" t="s">
        <v>368</v>
      </c>
      <c r="E152" s="236"/>
      <c r="F152" s="47"/>
      <c r="G152" s="47"/>
      <c r="H152" s="47"/>
      <c r="I152" s="47"/>
      <c r="J152" s="47"/>
      <c r="K152" s="240">
        <v>100000</v>
      </c>
      <c r="M152" s="240">
        <v>100000</v>
      </c>
      <c r="N152" s="240">
        <v>100000</v>
      </c>
      <c r="O152" s="240">
        <v>100000</v>
      </c>
      <c r="P152" s="240">
        <v>100000</v>
      </c>
      <c r="Q152" s="240">
        <v>100000</v>
      </c>
      <c r="R152" s="240">
        <v>100000</v>
      </c>
      <c r="S152" s="240">
        <v>100000</v>
      </c>
      <c r="T152" s="240">
        <v>100000</v>
      </c>
    </row>
    <row r="153" spans="1:25" outlineLevel="1" x14ac:dyDescent="0.25">
      <c r="A153" s="338" t="s">
        <v>393</v>
      </c>
      <c r="B153" s="339"/>
      <c r="C153" s="9" t="s">
        <v>377</v>
      </c>
      <c r="D153" s="5" t="s">
        <v>368</v>
      </c>
      <c r="E153" s="236"/>
      <c r="F153" s="47"/>
      <c r="G153" s="47"/>
      <c r="H153" s="47"/>
      <c r="I153" s="47"/>
      <c r="J153" s="47"/>
      <c r="K153" s="241">
        <v>60000</v>
      </c>
      <c r="M153" s="241">
        <v>60000</v>
      </c>
      <c r="N153" s="241">
        <v>60000</v>
      </c>
      <c r="O153" s="241">
        <v>60000</v>
      </c>
      <c r="P153" s="241">
        <v>60000</v>
      </c>
      <c r="Q153" s="241">
        <v>60000</v>
      </c>
      <c r="R153" s="241">
        <v>60000</v>
      </c>
      <c r="S153" s="241">
        <v>60000</v>
      </c>
      <c r="T153" s="241">
        <v>60000</v>
      </c>
    </row>
    <row r="154" spans="1:25" outlineLevel="1" x14ac:dyDescent="0.25">
      <c r="A154" s="338" t="s">
        <v>394</v>
      </c>
      <c r="B154" s="339"/>
      <c r="C154" s="9" t="s">
        <v>379</v>
      </c>
      <c r="D154" s="5" t="s">
        <v>368</v>
      </c>
      <c r="E154" s="236"/>
      <c r="F154" s="47"/>
      <c r="G154" s="47"/>
      <c r="H154" s="47"/>
      <c r="I154" s="47"/>
      <c r="J154" s="47"/>
      <c r="K154" s="242">
        <v>50000</v>
      </c>
      <c r="M154" s="242">
        <v>50000</v>
      </c>
      <c r="N154" s="242">
        <v>50000</v>
      </c>
      <c r="O154" s="242">
        <v>50000</v>
      </c>
      <c r="P154" s="242">
        <v>50000</v>
      </c>
      <c r="Q154" s="242">
        <v>50000</v>
      </c>
      <c r="R154" s="242">
        <v>50000</v>
      </c>
      <c r="S154" s="242">
        <v>50000</v>
      </c>
      <c r="T154" s="242">
        <v>50000</v>
      </c>
    </row>
    <row r="155" spans="1:25" outlineLevel="1" x14ac:dyDescent="0.25">
      <c r="A155" s="338" t="s">
        <v>395</v>
      </c>
      <c r="B155" s="339"/>
      <c r="C155" s="9" t="s">
        <v>380</v>
      </c>
      <c r="D155" s="5" t="s">
        <v>368</v>
      </c>
      <c r="E155" s="236"/>
      <c r="F155" s="47"/>
      <c r="G155" s="47"/>
      <c r="H155" s="47"/>
      <c r="I155" s="47"/>
      <c r="J155" s="47"/>
      <c r="K155" s="240">
        <v>0</v>
      </c>
      <c r="M155" s="240">
        <v>0</v>
      </c>
      <c r="N155" s="240">
        <v>0</v>
      </c>
      <c r="O155" s="240">
        <v>0</v>
      </c>
      <c r="P155" s="240">
        <v>0</v>
      </c>
      <c r="Q155" s="240">
        <v>0</v>
      </c>
      <c r="R155" s="240">
        <v>0</v>
      </c>
      <c r="S155" s="240">
        <v>0</v>
      </c>
      <c r="T155" s="240">
        <v>0</v>
      </c>
    </row>
    <row r="156" spans="1:25" outlineLevel="1" x14ac:dyDescent="0.25">
      <c r="A156" s="338" t="s">
        <v>396</v>
      </c>
      <c r="B156" s="339"/>
      <c r="C156" s="9" t="s">
        <v>381</v>
      </c>
      <c r="D156" s="5" t="s">
        <v>368</v>
      </c>
      <c r="E156" s="236"/>
      <c r="F156" s="47"/>
      <c r="G156" s="47"/>
      <c r="H156" s="47"/>
      <c r="I156" s="47"/>
      <c r="J156" s="47"/>
      <c r="K156" s="240">
        <v>200000</v>
      </c>
      <c r="M156" s="240">
        <v>200000</v>
      </c>
      <c r="N156" s="240">
        <v>200000</v>
      </c>
      <c r="O156" s="240">
        <v>200000</v>
      </c>
      <c r="P156" s="240">
        <v>200000</v>
      </c>
      <c r="Q156" s="240">
        <v>200000</v>
      </c>
      <c r="R156" s="240">
        <v>200000</v>
      </c>
      <c r="S156" s="240">
        <v>200000</v>
      </c>
      <c r="T156" s="240">
        <v>200000</v>
      </c>
    </row>
    <row r="157" spans="1:25" outlineLevel="1" x14ac:dyDescent="0.25">
      <c r="A157" s="338" t="s">
        <v>397</v>
      </c>
      <c r="B157" s="339"/>
      <c r="C157" s="9" t="s">
        <v>382</v>
      </c>
      <c r="D157" s="5" t="s">
        <v>368</v>
      </c>
      <c r="E157" s="236"/>
      <c r="F157" s="47"/>
      <c r="G157" s="47"/>
      <c r="H157" s="47"/>
      <c r="I157" s="47"/>
      <c r="J157" s="47"/>
      <c r="K157" s="241">
        <v>150000</v>
      </c>
      <c r="M157" s="241">
        <v>150000</v>
      </c>
      <c r="N157" s="241">
        <v>150000</v>
      </c>
      <c r="O157" s="241">
        <v>150000</v>
      </c>
      <c r="P157" s="241">
        <v>150000</v>
      </c>
      <c r="Q157" s="241">
        <v>150000</v>
      </c>
      <c r="R157" s="241">
        <v>150000</v>
      </c>
      <c r="S157" s="241">
        <v>150000</v>
      </c>
      <c r="T157" s="241">
        <v>150000</v>
      </c>
    </row>
    <row r="158" spans="1:25" outlineLevel="1" x14ac:dyDescent="0.25">
      <c r="A158" s="338" t="s">
        <v>398</v>
      </c>
      <c r="B158" s="339"/>
      <c r="C158" s="9" t="s">
        <v>383</v>
      </c>
      <c r="D158" s="5" t="s">
        <v>368</v>
      </c>
      <c r="E158" s="236"/>
      <c r="F158" s="47"/>
      <c r="G158" s="47"/>
      <c r="H158" s="47"/>
      <c r="I158" s="47"/>
      <c r="J158" s="47"/>
      <c r="K158" s="239">
        <f>preRiskCost*riskPercent</f>
        <v>447000</v>
      </c>
      <c r="M158" s="239">
        <f t="shared" ref="M158:R158" si="55">preRiskCost*riskPercent</f>
        <v>447000</v>
      </c>
      <c r="N158" s="239">
        <f t="shared" si="55"/>
        <v>447000</v>
      </c>
      <c r="O158" s="239">
        <f t="shared" si="55"/>
        <v>447000</v>
      </c>
      <c r="P158" s="239">
        <f t="shared" si="55"/>
        <v>447000</v>
      </c>
      <c r="Q158" s="239">
        <f t="shared" si="55"/>
        <v>447000</v>
      </c>
      <c r="R158" s="239">
        <f t="shared" si="55"/>
        <v>447000</v>
      </c>
      <c r="S158" s="239">
        <f>preRiskCost*riskPercent</f>
        <v>447000</v>
      </c>
      <c r="T158" s="239">
        <f>preRiskCost*riskPercent</f>
        <v>447000</v>
      </c>
    </row>
    <row r="159" spans="1:25" outlineLevel="1" x14ac:dyDescent="0.25">
      <c r="A159" s="338" t="s">
        <v>399</v>
      </c>
      <c r="B159" s="339"/>
      <c r="C159" s="9" t="s">
        <v>385</v>
      </c>
      <c r="D159" s="5" t="s">
        <v>368</v>
      </c>
      <c r="E159" s="236"/>
      <c r="F159" s="47"/>
      <c r="G159" s="47"/>
      <c r="H159" s="47"/>
      <c r="I159" s="47"/>
      <c r="J159" s="47"/>
      <c r="K159" s="246">
        <f>shipping+custom_duties+installation+extra_parts+initCostOfLine</f>
        <v>1490000</v>
      </c>
      <c r="M159" s="246">
        <f t="shared" ref="M159:R159" si="56">shipping+custom_duties+installation+extra_parts+initCostOfLine</f>
        <v>1490000</v>
      </c>
      <c r="N159" s="246">
        <f t="shared" si="56"/>
        <v>1490000</v>
      </c>
      <c r="O159" s="246">
        <f t="shared" si="56"/>
        <v>1490000</v>
      </c>
      <c r="P159" s="246">
        <f t="shared" si="56"/>
        <v>1490000</v>
      </c>
      <c r="Q159" s="246">
        <f t="shared" si="56"/>
        <v>1490000</v>
      </c>
      <c r="R159" s="246">
        <f t="shared" si="56"/>
        <v>1490000</v>
      </c>
      <c r="S159" s="246">
        <f>shipping+custom_duties+installation+extra_parts+initCostOfLine</f>
        <v>1490000</v>
      </c>
      <c r="T159" s="246">
        <f>shipping+custom_duties+installation+extra_parts+initCostOfLine</f>
        <v>1490000</v>
      </c>
    </row>
    <row r="160" spans="1:25" outlineLevel="1" x14ac:dyDescent="0.25">
      <c r="A160" s="338" t="s">
        <v>400</v>
      </c>
      <c r="B160" s="339"/>
      <c r="C160" s="9" t="s">
        <v>384</v>
      </c>
      <c r="D160" s="5" t="s">
        <v>198</v>
      </c>
      <c r="E160" s="236"/>
      <c r="F160" s="47"/>
      <c r="G160" s="47"/>
      <c r="H160" s="47"/>
      <c r="I160" s="47"/>
      <c r="J160" s="47"/>
      <c r="K160" s="281">
        <v>0.3</v>
      </c>
      <c r="M160" s="281">
        <v>0.3</v>
      </c>
      <c r="N160" s="281">
        <v>0.3</v>
      </c>
      <c r="O160" s="281">
        <v>0.3</v>
      </c>
      <c r="P160" s="281">
        <v>0.3</v>
      </c>
      <c r="Q160" s="281">
        <v>0.3</v>
      </c>
      <c r="R160" s="281">
        <v>0.3</v>
      </c>
      <c r="S160" s="281">
        <v>0.3</v>
      </c>
      <c r="T160" s="281">
        <v>0.3</v>
      </c>
    </row>
    <row r="161" spans="1:20" outlineLevel="1" x14ac:dyDescent="0.25">
      <c r="A161" s="338" t="s">
        <v>361</v>
      </c>
      <c r="B161" s="339"/>
      <c r="C161" s="9" t="s">
        <v>364</v>
      </c>
      <c r="D161" s="5" t="s">
        <v>369</v>
      </c>
      <c r="E161" s="248"/>
      <c r="F161" s="47"/>
      <c r="G161" s="47"/>
      <c r="H161" s="47"/>
      <c r="I161" s="47"/>
      <c r="J161" s="47"/>
      <c r="K161" s="245">
        <v>15</v>
      </c>
      <c r="M161" s="245">
        <v>15</v>
      </c>
      <c r="N161" s="245">
        <v>15</v>
      </c>
      <c r="O161" s="245">
        <v>15</v>
      </c>
      <c r="P161" s="245">
        <v>15</v>
      </c>
      <c r="Q161" s="245">
        <v>15</v>
      </c>
      <c r="R161" s="245">
        <v>15</v>
      </c>
      <c r="S161" s="245">
        <v>15</v>
      </c>
      <c r="T161" s="245">
        <v>15</v>
      </c>
    </row>
    <row r="162" spans="1:20" outlineLevel="1" x14ac:dyDescent="0.25">
      <c r="A162" s="127"/>
      <c r="B162" s="127"/>
      <c r="C162" s="9"/>
      <c r="E162" s="236"/>
      <c r="F162" s="47"/>
      <c r="G162" s="47"/>
      <c r="H162" s="47"/>
      <c r="I162" s="47"/>
      <c r="J162" s="47"/>
      <c r="K162" s="249"/>
      <c r="M162" s="249"/>
      <c r="N162" s="249"/>
      <c r="O162" s="249"/>
      <c r="P162" s="249"/>
      <c r="Q162" s="249"/>
      <c r="R162" s="249"/>
      <c r="S162" s="249"/>
      <c r="T162" s="249"/>
    </row>
    <row r="163" spans="1:20" outlineLevel="1" x14ac:dyDescent="0.25">
      <c r="A163" s="338" t="s">
        <v>402</v>
      </c>
      <c r="B163" s="339"/>
      <c r="C163" s="9" t="s">
        <v>365</v>
      </c>
      <c r="D163" s="5" t="s">
        <v>95</v>
      </c>
      <c r="E163" s="71"/>
      <c r="F163" s="47"/>
      <c r="G163" s="47"/>
      <c r="H163" s="47"/>
      <c r="I163" s="47"/>
      <c r="J163" s="47"/>
      <c r="K163" s="243">
        <f>costForAllLines/lifeOfBuilding/numLINES</f>
        <v>27548.209366391187</v>
      </c>
      <c r="M163" s="243">
        <f t="shared" ref="M163:R163" si="57">costForAllLines/lifeOfBuilding/numLINES</f>
        <v>27548.209366391187</v>
      </c>
      <c r="N163" s="243">
        <f t="shared" si="57"/>
        <v>27548.209366391187</v>
      </c>
      <c r="O163" s="243">
        <f t="shared" si="57"/>
        <v>27548.209366391187</v>
      </c>
      <c r="P163" s="243">
        <f t="shared" si="57"/>
        <v>27548.209366391187</v>
      </c>
      <c r="Q163" s="243">
        <f t="shared" si="57"/>
        <v>27548.209366391187</v>
      </c>
      <c r="R163" s="243">
        <f t="shared" si="57"/>
        <v>-7.2920154990024946E-13</v>
      </c>
      <c r="S163" s="243">
        <f>costForAllLines/lifeOfBuilding/numLINES</f>
        <v>27548.209366391187</v>
      </c>
      <c r="T163" s="243">
        <f>costForAllLines/lifeOfBuilding/numLINES</f>
        <v>27548.209366391187</v>
      </c>
    </row>
    <row r="164" spans="1:20" outlineLevel="1" x14ac:dyDescent="0.25">
      <c r="A164" s="219" t="s">
        <v>403</v>
      </c>
      <c r="B164" s="143"/>
      <c r="C164" s="9" t="s">
        <v>366</v>
      </c>
      <c r="D164" s="5" t="s">
        <v>370</v>
      </c>
      <c r="E164" s="57"/>
      <c r="F164" s="47"/>
      <c r="G164" s="47"/>
      <c r="H164" s="47"/>
      <c r="I164" s="47"/>
      <c r="J164" s="47"/>
      <c r="K164" s="244">
        <v>100000000</v>
      </c>
      <c r="M164" s="244">
        <v>100000000</v>
      </c>
      <c r="N164" s="244">
        <v>100000000</v>
      </c>
      <c r="O164" s="244">
        <v>100000000</v>
      </c>
      <c r="P164" s="244">
        <v>100000000</v>
      </c>
      <c r="Q164" s="244">
        <v>100000000</v>
      </c>
      <c r="R164" s="244">
        <v>100000000</v>
      </c>
      <c r="S164" s="244">
        <v>100000000</v>
      </c>
      <c r="T164" s="244">
        <v>100000000</v>
      </c>
    </row>
    <row r="165" spans="1:20" outlineLevel="1" x14ac:dyDescent="0.25">
      <c r="A165" s="338" t="s">
        <v>404</v>
      </c>
      <c r="B165" s="339"/>
      <c r="C165" s="9" t="s">
        <v>367</v>
      </c>
      <c r="D165" s="5" t="s">
        <v>369</v>
      </c>
      <c r="E165" s="230"/>
      <c r="F165" s="47"/>
      <c r="G165" s="47"/>
      <c r="H165" s="47"/>
      <c r="I165" s="47"/>
      <c r="J165" s="47"/>
      <c r="K165" s="245">
        <v>30</v>
      </c>
      <c r="M165" s="245">
        <v>30</v>
      </c>
      <c r="N165" s="245">
        <v>30</v>
      </c>
      <c r="O165" s="245">
        <v>30</v>
      </c>
      <c r="P165" s="245">
        <v>30</v>
      </c>
      <c r="Q165" s="245">
        <v>30</v>
      </c>
      <c r="R165" s="245">
        <v>30</v>
      </c>
      <c r="S165" s="245">
        <v>30</v>
      </c>
      <c r="T165" s="245">
        <v>30</v>
      </c>
    </row>
    <row r="166" spans="1:20" outlineLevel="1" x14ac:dyDescent="0.25">
      <c r="C166" s="9"/>
      <c r="E166" s="231"/>
      <c r="F166" s="47"/>
      <c r="G166" s="47"/>
      <c r="H166" s="47"/>
      <c r="I166" s="47"/>
      <c r="J166" s="47"/>
      <c r="K166" s="232"/>
      <c r="M166" s="232"/>
      <c r="N166" s="232"/>
      <c r="O166" s="232"/>
      <c r="P166" s="232"/>
      <c r="Q166" s="232"/>
      <c r="R166" s="232"/>
      <c r="S166" s="232"/>
      <c r="T166" s="232"/>
    </row>
    <row r="167" spans="1:20" outlineLevel="1" x14ac:dyDescent="0.25">
      <c r="A167" s="220" t="s">
        <v>408</v>
      </c>
      <c r="B167" s="221"/>
      <c r="C167" s="222" t="s">
        <v>418</v>
      </c>
      <c r="D167" s="223" t="s">
        <v>409</v>
      </c>
      <c r="E167" s="224"/>
      <c r="F167" s="225"/>
      <c r="G167" s="225"/>
      <c r="H167" s="225"/>
      <c r="I167" s="225"/>
      <c r="J167" s="225"/>
      <c r="K167" s="237">
        <f>ohPerYear/numLINES</f>
        <v>24793.388429752067</v>
      </c>
      <c r="M167" s="237">
        <f t="shared" ref="M167:R167" si="58">ohPerYear/numLINES</f>
        <v>24793.388429752067</v>
      </c>
      <c r="N167" s="237">
        <f t="shared" si="58"/>
        <v>24793.388429752067</v>
      </c>
      <c r="O167" s="237">
        <f t="shared" si="58"/>
        <v>24793.388429752067</v>
      </c>
      <c r="P167" s="237">
        <f t="shared" si="58"/>
        <v>24793.388429752067</v>
      </c>
      <c r="Q167" s="237">
        <f t="shared" si="58"/>
        <v>24793.388429752067</v>
      </c>
      <c r="R167" s="237">
        <f t="shared" si="58"/>
        <v>-6.5628139491022451E-13</v>
      </c>
      <c r="S167" s="237">
        <f>ohPerYear/numLINES</f>
        <v>24793.388429752067</v>
      </c>
      <c r="T167" s="237">
        <f>ohPerYear/numLINES</f>
        <v>24793.388429752067</v>
      </c>
    </row>
    <row r="168" spans="1:20" outlineLevel="1" x14ac:dyDescent="0.25">
      <c r="C168" s="9"/>
      <c r="D168" s="5" t="s">
        <v>410</v>
      </c>
      <c r="E168" s="252"/>
      <c r="F168" s="47"/>
      <c r="G168" s="47"/>
      <c r="H168" s="47"/>
      <c r="I168" s="47"/>
      <c r="J168" s="47"/>
      <c r="K168" s="261">
        <f>(ohPerLinePerYear/dollPerYEARmanu)</f>
        <v>2.3713045407758475E-4</v>
      </c>
      <c r="M168" s="261">
        <f t="shared" ref="M168:R168" si="59">(ohPerLinePerYear/dollPerYEARmanu)</f>
        <v>2.2847085636726065E-4</v>
      </c>
      <c r="N168" s="261">
        <f t="shared" si="59"/>
        <v>-2.9079494675476353E-9</v>
      </c>
      <c r="O168" s="261">
        <f t="shared" si="59"/>
        <v>2.6690067442224405E-4</v>
      </c>
      <c r="P168" s="261">
        <f t="shared" si="59"/>
        <v>2.7874104298123337E-4</v>
      </c>
      <c r="Q168" s="261">
        <f t="shared" si="59"/>
        <v>2.3709194763706985E-4</v>
      </c>
      <c r="R168" s="261">
        <f t="shared" si="59"/>
        <v>-3.5214905451008322E-36</v>
      </c>
      <c r="S168" s="261">
        <f>(ohPerLinePerYear/dollPerYEARmanu)</f>
        <v>2.3713045407758475E-4</v>
      </c>
      <c r="T168" s="261">
        <f>(ohPerLinePerYear/dollPerYEARmanu)</f>
        <v>2.3713045407758475E-4</v>
      </c>
    </row>
    <row r="169" spans="1:20" outlineLevel="1" x14ac:dyDescent="0.25">
      <c r="A169" s="257"/>
      <c r="B169" s="258"/>
      <c r="C169" s="259" t="s">
        <v>419</v>
      </c>
      <c r="D169" s="258" t="s">
        <v>420</v>
      </c>
      <c r="E169" s="252"/>
      <c r="F169" s="47"/>
      <c r="G169" s="47"/>
      <c r="H169" s="47"/>
      <c r="I169" s="47"/>
      <c r="J169" s="47"/>
      <c r="K169" s="243">
        <f>plant_manager+purchasing+engineering+finance_accounting+safety+qa_cost+hr_cost</f>
        <v>3000000</v>
      </c>
      <c r="M169" s="243">
        <f t="shared" ref="M169:R169" si="60">plant_manager+purchasing+engineering+finance_accounting+safety+qa_cost+hr_cost</f>
        <v>3000000</v>
      </c>
      <c r="N169" s="243">
        <f t="shared" si="60"/>
        <v>3000000</v>
      </c>
      <c r="O169" s="243">
        <f t="shared" si="60"/>
        <v>3000000</v>
      </c>
      <c r="P169" s="243">
        <f t="shared" si="60"/>
        <v>3000000</v>
      </c>
      <c r="Q169" s="243">
        <f t="shared" si="60"/>
        <v>3000000</v>
      </c>
      <c r="R169" s="243">
        <f t="shared" si="60"/>
        <v>3000000</v>
      </c>
      <c r="S169" s="243">
        <f>plant_manager+purchasing+engineering+finance_accounting+safety+qa_cost+hr_cost</f>
        <v>3000000</v>
      </c>
      <c r="T169" s="243">
        <f>plant_manager+purchasing+engineering+finance_accounting+safety+qa_cost+hr_cost</f>
        <v>3000000</v>
      </c>
    </row>
    <row r="170" spans="1:20" outlineLevel="1" x14ac:dyDescent="0.25">
      <c r="A170" s="338" t="s">
        <v>411</v>
      </c>
      <c r="B170" s="339"/>
      <c r="C170" s="9" t="s">
        <v>422</v>
      </c>
      <c r="D170" s="5" t="s">
        <v>421</v>
      </c>
      <c r="E170" s="252"/>
      <c r="F170" s="47"/>
      <c r="G170" s="47"/>
      <c r="H170" s="47"/>
      <c r="I170" s="47"/>
      <c r="J170" s="47"/>
      <c r="K170" s="240">
        <v>600000</v>
      </c>
      <c r="M170" s="240">
        <v>600000</v>
      </c>
      <c r="N170" s="240">
        <v>600000</v>
      </c>
      <c r="O170" s="240">
        <v>600000</v>
      </c>
      <c r="P170" s="240">
        <v>600000</v>
      </c>
      <c r="Q170" s="240">
        <v>600000</v>
      </c>
      <c r="R170" s="240">
        <v>600000</v>
      </c>
      <c r="S170" s="240">
        <v>600000</v>
      </c>
      <c r="T170" s="240">
        <v>600000</v>
      </c>
    </row>
    <row r="171" spans="1:20" outlineLevel="1" x14ac:dyDescent="0.25">
      <c r="A171" s="338" t="s">
        <v>412</v>
      </c>
      <c r="B171" s="339"/>
      <c r="C171" s="9" t="s">
        <v>423</v>
      </c>
      <c r="D171" s="5" t="s">
        <v>421</v>
      </c>
      <c r="E171" s="252"/>
      <c r="F171" s="47"/>
      <c r="G171" s="47"/>
      <c r="H171" s="47"/>
      <c r="I171" s="47"/>
      <c r="J171" s="47"/>
      <c r="K171" s="240">
        <v>400000</v>
      </c>
      <c r="M171" s="240">
        <v>400000</v>
      </c>
      <c r="N171" s="240">
        <v>400000</v>
      </c>
      <c r="O171" s="240">
        <v>400000</v>
      </c>
      <c r="P171" s="240">
        <v>400000</v>
      </c>
      <c r="Q171" s="240">
        <v>400000</v>
      </c>
      <c r="R171" s="240">
        <v>400000</v>
      </c>
      <c r="S171" s="240">
        <v>400000</v>
      </c>
      <c r="T171" s="240">
        <v>400000</v>
      </c>
    </row>
    <row r="172" spans="1:20" outlineLevel="1" x14ac:dyDescent="0.25">
      <c r="A172" s="338" t="s">
        <v>413</v>
      </c>
      <c r="B172" s="339"/>
      <c r="C172" s="9" t="s">
        <v>424</v>
      </c>
      <c r="D172" s="5" t="s">
        <v>421</v>
      </c>
      <c r="E172" s="252"/>
      <c r="F172" s="47"/>
      <c r="G172" s="47"/>
      <c r="H172" s="47"/>
      <c r="I172" s="47"/>
      <c r="J172" s="47"/>
      <c r="K172" s="240">
        <v>400000</v>
      </c>
      <c r="M172" s="240">
        <v>400000</v>
      </c>
      <c r="N172" s="240">
        <v>400000</v>
      </c>
      <c r="O172" s="240">
        <v>400000</v>
      </c>
      <c r="P172" s="240">
        <v>400000</v>
      </c>
      <c r="Q172" s="240">
        <v>400000</v>
      </c>
      <c r="R172" s="240">
        <v>400000</v>
      </c>
      <c r="S172" s="240">
        <v>400000</v>
      </c>
      <c r="T172" s="240">
        <v>400000</v>
      </c>
    </row>
    <row r="173" spans="1:20" outlineLevel="1" x14ac:dyDescent="0.25">
      <c r="A173" s="338" t="s">
        <v>414</v>
      </c>
      <c r="B173" s="339"/>
      <c r="C173" s="9" t="s">
        <v>425</v>
      </c>
      <c r="D173" s="5" t="s">
        <v>421</v>
      </c>
      <c r="E173" s="252"/>
      <c r="F173" s="47"/>
      <c r="G173" s="47"/>
      <c r="H173" s="47"/>
      <c r="I173" s="47"/>
      <c r="J173" s="47"/>
      <c r="K173" s="240">
        <v>400000</v>
      </c>
      <c r="M173" s="240">
        <v>400000</v>
      </c>
      <c r="N173" s="240">
        <v>400000</v>
      </c>
      <c r="O173" s="240">
        <v>400000</v>
      </c>
      <c r="P173" s="240">
        <v>400000</v>
      </c>
      <c r="Q173" s="240">
        <v>400000</v>
      </c>
      <c r="R173" s="240">
        <v>400000</v>
      </c>
      <c r="S173" s="240">
        <v>400000</v>
      </c>
      <c r="T173" s="240">
        <v>400000</v>
      </c>
    </row>
    <row r="174" spans="1:20" outlineLevel="1" x14ac:dyDescent="0.25">
      <c r="A174" s="338" t="s">
        <v>415</v>
      </c>
      <c r="B174" s="339"/>
      <c r="C174" s="9" t="s">
        <v>426</v>
      </c>
      <c r="D174" s="5" t="s">
        <v>421</v>
      </c>
      <c r="E174" s="252"/>
      <c r="F174" s="47"/>
      <c r="G174" s="47"/>
      <c r="H174" s="47"/>
      <c r="I174" s="47"/>
      <c r="J174" s="47"/>
      <c r="K174" s="240">
        <v>400000</v>
      </c>
      <c r="M174" s="240">
        <v>400000</v>
      </c>
      <c r="N174" s="240">
        <v>400000</v>
      </c>
      <c r="O174" s="240">
        <v>400000</v>
      </c>
      <c r="P174" s="240">
        <v>400000</v>
      </c>
      <c r="Q174" s="240">
        <v>400000</v>
      </c>
      <c r="R174" s="240">
        <v>400000</v>
      </c>
      <c r="S174" s="240">
        <v>400000</v>
      </c>
      <c r="T174" s="240">
        <v>400000</v>
      </c>
    </row>
    <row r="175" spans="1:20" outlineLevel="1" x14ac:dyDescent="0.25">
      <c r="A175" s="338" t="s">
        <v>416</v>
      </c>
      <c r="B175" s="339"/>
      <c r="C175" s="9" t="s">
        <v>427</v>
      </c>
      <c r="D175" s="5" t="s">
        <v>421</v>
      </c>
      <c r="E175" s="252"/>
      <c r="F175" s="47"/>
      <c r="G175" s="47"/>
      <c r="H175" s="47"/>
      <c r="I175" s="47"/>
      <c r="J175" s="47"/>
      <c r="K175" s="240">
        <v>400000</v>
      </c>
      <c r="M175" s="240">
        <v>400000</v>
      </c>
      <c r="N175" s="240">
        <v>400000</v>
      </c>
      <c r="O175" s="240">
        <v>400000</v>
      </c>
      <c r="P175" s="240">
        <v>400000</v>
      </c>
      <c r="Q175" s="240">
        <v>400000</v>
      </c>
      <c r="R175" s="240">
        <v>400000</v>
      </c>
      <c r="S175" s="240">
        <v>400000</v>
      </c>
      <c r="T175" s="240">
        <v>400000</v>
      </c>
    </row>
    <row r="176" spans="1:20" outlineLevel="1" x14ac:dyDescent="0.25">
      <c r="A176" s="338" t="s">
        <v>417</v>
      </c>
      <c r="B176" s="339"/>
      <c r="C176" s="9" t="s">
        <v>428</v>
      </c>
      <c r="D176" s="5" t="s">
        <v>421</v>
      </c>
      <c r="E176" s="252"/>
      <c r="F176" s="47"/>
      <c r="G176" s="47"/>
      <c r="H176" s="47"/>
      <c r="I176" s="47"/>
      <c r="J176" s="47"/>
      <c r="K176" s="241">
        <v>400000</v>
      </c>
      <c r="M176" s="241">
        <v>400000</v>
      </c>
      <c r="N176" s="241">
        <v>400000</v>
      </c>
      <c r="O176" s="241">
        <v>400000</v>
      </c>
      <c r="P176" s="241">
        <v>400000</v>
      </c>
      <c r="Q176" s="241">
        <v>400000</v>
      </c>
      <c r="R176" s="241">
        <v>400000</v>
      </c>
      <c r="S176" s="241">
        <v>400000</v>
      </c>
      <c r="T176" s="241">
        <v>400000</v>
      </c>
    </row>
    <row r="177" spans="1:20" outlineLevel="1" x14ac:dyDescent="0.25">
      <c r="C177" s="9"/>
      <c r="E177" s="57"/>
      <c r="F177" s="47"/>
      <c r="G177" s="47"/>
      <c r="H177" s="47"/>
      <c r="I177" s="47"/>
      <c r="J177" s="47"/>
      <c r="K177" s="57"/>
      <c r="M177" s="57"/>
      <c r="N177" s="57"/>
      <c r="O177" s="57"/>
      <c r="P177" s="57"/>
      <c r="Q177" s="57"/>
      <c r="R177" s="57"/>
      <c r="S177" s="57"/>
      <c r="T177" s="57"/>
    </row>
    <row r="178" spans="1:20" ht="18.75" outlineLevel="1" x14ac:dyDescent="0.25">
      <c r="A178" s="359" t="s">
        <v>430</v>
      </c>
      <c r="B178" s="360"/>
      <c r="C178" s="263" t="s">
        <v>431</v>
      </c>
      <c r="D178" s="262" t="s">
        <v>432</v>
      </c>
      <c r="E178" s="264"/>
      <c r="F178" s="265"/>
      <c r="G178" s="265"/>
      <c r="H178" s="265"/>
      <c r="I178" s="265"/>
      <c r="J178" s="265"/>
      <c r="K178" s="280">
        <f>K179/(totalTHRUPUT/numLINES)</f>
        <v>7.7898641573674696E-4</v>
      </c>
      <c r="M178" s="280">
        <f t="shared" ref="M178:R178" si="61">M179/(totalTHRUPUT/numLINES)</f>
        <v>7.8106386530001461E-4</v>
      </c>
      <c r="N178" s="280">
        <f t="shared" si="61"/>
        <v>7.8106386530001461E-4</v>
      </c>
      <c r="O178" s="280">
        <f t="shared" si="61"/>
        <v>7.8106386530001461E-4</v>
      </c>
      <c r="P178" s="280">
        <f t="shared" si="61"/>
        <v>7.8106386530001461E-4</v>
      </c>
      <c r="Q178" s="280">
        <f t="shared" si="61"/>
        <v>7.8106386530001461E-4</v>
      </c>
      <c r="R178" s="280">
        <f t="shared" si="61"/>
        <v>-22424008336030.039</v>
      </c>
      <c r="S178" s="280">
        <f>S179/(totalTHRUPUT/numLINES)</f>
        <v>7.7898641573674696E-4</v>
      </c>
      <c r="T178" s="280">
        <f>T179/(totalTHRUPUT/numLINES)</f>
        <v>7.7898641573674696E-4</v>
      </c>
    </row>
    <row r="179" spans="1:20" ht="14.1" customHeight="1" outlineLevel="1" x14ac:dyDescent="0.25">
      <c r="A179" s="266"/>
      <c r="B179" s="8"/>
      <c r="C179" s="267"/>
      <c r="D179" s="8" t="s">
        <v>433</v>
      </c>
      <c r="E179" s="268"/>
      <c r="F179" s="269"/>
      <c r="G179" s="269"/>
      <c r="H179" s="269"/>
      <c r="I179" s="269"/>
      <c r="J179" s="269"/>
      <c r="K179" s="279">
        <f>supplies+energy+m_and_r</f>
        <v>85147.768601874996</v>
      </c>
      <c r="M179" s="279">
        <f t="shared" ref="M179:R179" si="62">supplies+energy+m_and_r</f>
        <v>85374.845982329542</v>
      </c>
      <c r="N179" s="279">
        <f t="shared" si="62"/>
        <v>85374.845982329542</v>
      </c>
      <c r="O179" s="279">
        <f t="shared" si="62"/>
        <v>85374.845982329542</v>
      </c>
      <c r="P179" s="279">
        <f t="shared" si="62"/>
        <v>85374.845982329542</v>
      </c>
      <c r="Q179" s="279">
        <f t="shared" si="62"/>
        <v>85374.845982329542</v>
      </c>
      <c r="R179" s="279">
        <f t="shared" si="62"/>
        <v>64880.000000000007</v>
      </c>
      <c r="S179" s="279">
        <f>supplies+energy+m_and_r</f>
        <v>85147.768601874996</v>
      </c>
      <c r="T179" s="279">
        <f>supplies+energy+m_and_r</f>
        <v>85147.768601874996</v>
      </c>
    </row>
    <row r="180" spans="1:20" ht="14.1" customHeight="1" outlineLevel="1" x14ac:dyDescent="0.25">
      <c r="A180" s="266"/>
      <c r="B180" s="8"/>
      <c r="C180" s="267"/>
      <c r="D180" s="8" t="s">
        <v>434</v>
      </c>
      <c r="E180" s="268"/>
      <c r="F180" s="269"/>
      <c r="G180" s="269"/>
      <c r="H180" s="269"/>
      <c r="I180" s="269"/>
      <c r="J180" s="269"/>
      <c r="K180" s="279">
        <f>K179*121</f>
        <v>10302880.000826875</v>
      </c>
      <c r="M180" s="279">
        <f t="shared" ref="M180:R180" si="63">M179*121</f>
        <v>10330356.363861874</v>
      </c>
      <c r="N180" s="279">
        <f t="shared" si="63"/>
        <v>10330356.363861874</v>
      </c>
      <c r="O180" s="279">
        <f t="shared" si="63"/>
        <v>10330356.363861874</v>
      </c>
      <c r="P180" s="279">
        <f t="shared" si="63"/>
        <v>10330356.363861874</v>
      </c>
      <c r="Q180" s="279">
        <f t="shared" si="63"/>
        <v>10330356.363861874</v>
      </c>
      <c r="R180" s="279">
        <f t="shared" si="63"/>
        <v>7850480.0000000009</v>
      </c>
      <c r="S180" s="279">
        <f>S179*121</f>
        <v>10302880.000826875</v>
      </c>
      <c r="T180" s="279">
        <f>T179*121</f>
        <v>10302880.000826875</v>
      </c>
    </row>
    <row r="181" spans="1:20" ht="14.1" customHeight="1" outlineLevel="1" x14ac:dyDescent="0.25">
      <c r="A181" s="266"/>
      <c r="B181" s="8"/>
      <c r="C181" s="267"/>
      <c r="D181" s="8"/>
      <c r="E181" s="268"/>
      <c r="F181" s="269"/>
      <c r="G181" s="269"/>
      <c r="H181" s="269"/>
      <c r="I181" s="269"/>
      <c r="J181" s="269"/>
      <c r="K181" s="270"/>
      <c r="M181" s="270"/>
      <c r="N181" s="270"/>
      <c r="O181" s="270"/>
      <c r="P181" s="270"/>
      <c r="Q181" s="270"/>
      <c r="R181" s="270"/>
      <c r="S181" s="270"/>
      <c r="T181" s="270"/>
    </row>
    <row r="182" spans="1:20" ht="14.1" customHeight="1" outlineLevel="1" x14ac:dyDescent="0.25">
      <c r="A182" s="220" t="s">
        <v>435</v>
      </c>
      <c r="B182" s="221"/>
      <c r="C182" s="222" t="s">
        <v>436</v>
      </c>
      <c r="D182" s="223" t="s">
        <v>95</v>
      </c>
      <c r="E182" s="224"/>
      <c r="F182" s="225"/>
      <c r="G182" s="225"/>
      <c r="H182" s="225"/>
      <c r="I182" s="225"/>
      <c r="J182" s="225"/>
      <c r="K182" s="237">
        <f>nbOfRepairsPerYear*costOfRepair</f>
        <v>54652.922619545447</v>
      </c>
      <c r="M182" s="237">
        <f t="shared" ref="M182:R182" si="64">nbOfRepairsPerYear*costOfRepair</f>
        <v>54880.000000000007</v>
      </c>
      <c r="N182" s="237">
        <f t="shared" si="64"/>
        <v>54880.000000000007</v>
      </c>
      <c r="O182" s="237">
        <f t="shared" si="64"/>
        <v>54880.000000000007</v>
      </c>
      <c r="P182" s="237">
        <f t="shared" si="64"/>
        <v>54880.000000000007</v>
      </c>
      <c r="Q182" s="237">
        <f t="shared" si="64"/>
        <v>54880.000000000007</v>
      </c>
      <c r="R182" s="237">
        <f t="shared" si="64"/>
        <v>54880.000000000007</v>
      </c>
      <c r="S182" s="237">
        <f>nbOfRepairsPerYear*costOfRepair</f>
        <v>54652.922619545447</v>
      </c>
      <c r="T182" s="237">
        <f>nbOfRepairsPerYear*costOfRepair</f>
        <v>54652.922619545447</v>
      </c>
    </row>
    <row r="183" spans="1:20" ht="14.1" customHeight="1" outlineLevel="1" x14ac:dyDescent="0.25">
      <c r="A183" s="338" t="s">
        <v>437</v>
      </c>
      <c r="B183" s="339"/>
      <c r="C183" s="9" t="s">
        <v>443</v>
      </c>
      <c r="D183" s="5" t="s">
        <v>442</v>
      </c>
      <c r="E183" s="71"/>
      <c r="F183" s="47"/>
      <c r="G183" s="47"/>
      <c r="H183" s="47"/>
      <c r="I183" s="47"/>
      <c r="J183" s="47"/>
      <c r="K183" s="337">
        <f>numPerLINE/frequencyOfRepairs</f>
        <v>5.465292261954545</v>
      </c>
      <c r="L183" s="5" t="s">
        <v>316</v>
      </c>
      <c r="M183" s="275">
        <v>5.4880000000000004</v>
      </c>
      <c r="N183" s="275">
        <v>5.4880000000000004</v>
      </c>
      <c r="O183" s="275">
        <v>5.4880000000000004</v>
      </c>
      <c r="P183" s="275">
        <v>5.4880000000000004</v>
      </c>
      <c r="Q183" s="275">
        <v>5.4880000000000004</v>
      </c>
      <c r="R183" s="275">
        <v>5.4880000000000004</v>
      </c>
      <c r="S183" s="337">
        <f>numPerLINE/frequencyOfRepairs</f>
        <v>5.465292261954545</v>
      </c>
      <c r="T183" s="337">
        <f>numPerLINE/frequencyOfRepairs</f>
        <v>5.465292261954545</v>
      </c>
    </row>
    <row r="184" spans="1:20" ht="14.1" customHeight="1" outlineLevel="1" x14ac:dyDescent="0.25">
      <c r="A184" s="338" t="s">
        <v>438</v>
      </c>
      <c r="B184" s="339"/>
      <c r="C184" s="9" t="s">
        <v>444</v>
      </c>
      <c r="D184" s="5" t="s">
        <v>440</v>
      </c>
      <c r="E184" s="57"/>
      <c r="F184" s="47"/>
      <c r="G184" s="47"/>
      <c r="H184" s="47"/>
      <c r="I184" s="47"/>
      <c r="J184" s="47"/>
      <c r="K184" s="271">
        <v>20000000</v>
      </c>
      <c r="M184" s="271">
        <v>20000000</v>
      </c>
      <c r="N184" s="271">
        <v>20000000</v>
      </c>
      <c r="O184" s="271">
        <v>20000000</v>
      </c>
      <c r="P184" s="271">
        <v>20000000</v>
      </c>
      <c r="Q184" s="271">
        <v>20000000</v>
      </c>
      <c r="R184" s="271">
        <v>20000000</v>
      </c>
      <c r="S184" s="271">
        <v>20000000</v>
      </c>
      <c r="T184" s="271">
        <v>20000000</v>
      </c>
    </row>
    <row r="185" spans="1:20" ht="14.1" customHeight="1" outlineLevel="1" x14ac:dyDescent="0.25">
      <c r="A185" s="338" t="s">
        <v>439</v>
      </c>
      <c r="B185" s="339"/>
      <c r="C185" s="9" t="s">
        <v>445</v>
      </c>
      <c r="D185" s="5" t="s">
        <v>441</v>
      </c>
      <c r="E185" s="236"/>
      <c r="F185" s="47"/>
      <c r="G185" s="47"/>
      <c r="H185" s="47"/>
      <c r="I185" s="47"/>
      <c r="J185" s="47"/>
      <c r="K185" s="241">
        <v>10000</v>
      </c>
      <c r="M185" s="241">
        <v>10000</v>
      </c>
      <c r="N185" s="241">
        <v>10000</v>
      </c>
      <c r="O185" s="241">
        <v>10000</v>
      </c>
      <c r="P185" s="241">
        <v>10000</v>
      </c>
      <c r="Q185" s="241">
        <v>10000</v>
      </c>
      <c r="R185" s="241">
        <v>10000</v>
      </c>
      <c r="S185" s="241">
        <v>10000</v>
      </c>
      <c r="T185" s="241">
        <v>10000</v>
      </c>
    </row>
    <row r="186" spans="1:20" ht="14.1" customHeight="1" outlineLevel="1" x14ac:dyDescent="0.25">
      <c r="A186" s="266"/>
      <c r="B186" s="8"/>
      <c r="C186" s="267"/>
      <c r="D186" s="8"/>
      <c r="E186" s="268"/>
      <c r="F186" s="269"/>
      <c r="G186" s="269"/>
      <c r="H186" s="269"/>
      <c r="I186" s="269"/>
      <c r="J186" s="269"/>
      <c r="K186" s="270"/>
      <c r="M186" s="270"/>
      <c r="N186" s="270"/>
      <c r="O186" s="270"/>
      <c r="P186" s="270"/>
      <c r="Q186" s="270"/>
      <c r="R186" s="270"/>
      <c r="S186" s="270"/>
      <c r="T186" s="270"/>
    </row>
    <row r="187" spans="1:20" ht="14.1" customHeight="1" outlineLevel="1" x14ac:dyDescent="0.25">
      <c r="A187" s="220" t="s">
        <v>446</v>
      </c>
      <c r="B187" s="221"/>
      <c r="C187" s="222" t="s">
        <v>447</v>
      </c>
      <c r="D187" s="223" t="s">
        <v>448</v>
      </c>
      <c r="E187" s="224"/>
      <c r="F187" s="225"/>
      <c r="G187" s="225"/>
      <c r="H187" s="225"/>
      <c r="I187" s="225"/>
      <c r="J187" s="225"/>
      <c r="K187" s="237">
        <f>nbOfKWHrs*dollPerkWhr</f>
        <v>20494.845982329542</v>
      </c>
      <c r="M187" s="237">
        <f t="shared" ref="M187:R187" si="65">nbOfKWHrs*dollPerkWhr</f>
        <v>20494.845982329542</v>
      </c>
      <c r="N187" s="237">
        <f t="shared" si="65"/>
        <v>20494.845982329542</v>
      </c>
      <c r="O187" s="237">
        <f t="shared" si="65"/>
        <v>20494.845982329542</v>
      </c>
      <c r="P187" s="237">
        <f t="shared" si="65"/>
        <v>20494.845982329542</v>
      </c>
      <c r="Q187" s="237">
        <f t="shared" si="65"/>
        <v>20494.845982329542</v>
      </c>
      <c r="R187" s="237">
        <f t="shared" si="65"/>
        <v>-5.4249890642672235E-13</v>
      </c>
      <c r="S187" s="237">
        <f>nbOfKWHrs*dollPerkWhr</f>
        <v>20494.845982329542</v>
      </c>
      <c r="T187" s="237">
        <f>nbOfKWHrs*dollPerkWhr</f>
        <v>20494.845982329542</v>
      </c>
    </row>
    <row r="188" spans="1:20" ht="14.1" customHeight="1" outlineLevel="1" x14ac:dyDescent="0.25">
      <c r="A188" s="338" t="s">
        <v>449</v>
      </c>
      <c r="B188" s="339"/>
      <c r="C188" s="9" t="s">
        <v>452</v>
      </c>
      <c r="D188" s="5" t="s">
        <v>456</v>
      </c>
      <c r="E188" s="71"/>
      <c r="F188" s="47"/>
      <c r="G188" s="47"/>
      <c r="H188" s="47"/>
      <c r="I188" s="47"/>
      <c r="J188" s="47"/>
      <c r="K188" s="277">
        <f>nbOfKgs*kWHr_kg</f>
        <v>136632.30654886362</v>
      </c>
      <c r="M188" s="277">
        <f t="shared" ref="M188:R188" si="66">nbOfKgs*kWHr_kg</f>
        <v>136632.30654886362</v>
      </c>
      <c r="N188" s="277">
        <f t="shared" si="66"/>
        <v>136632.30654886362</v>
      </c>
      <c r="O188" s="277">
        <f t="shared" si="66"/>
        <v>136632.30654886362</v>
      </c>
      <c r="P188" s="277">
        <f t="shared" si="66"/>
        <v>136632.30654886362</v>
      </c>
      <c r="Q188" s="277">
        <f t="shared" si="66"/>
        <v>136632.30654886362</v>
      </c>
      <c r="R188" s="277">
        <f t="shared" si="66"/>
        <v>-3.6166593761781488E-12</v>
      </c>
      <c r="S188" s="277">
        <f>nbOfKgs*kWHr_kg</f>
        <v>136632.30654886362</v>
      </c>
      <c r="T188" s="277">
        <f>nbOfKgs*kWHr_kg</f>
        <v>136632.30654886362</v>
      </c>
    </row>
    <row r="189" spans="1:20" ht="14.1" customHeight="1" outlineLevel="1" x14ac:dyDescent="0.25">
      <c r="A189" s="338" t="s">
        <v>451</v>
      </c>
      <c r="B189" s="339"/>
      <c r="C189" s="9" t="s">
        <v>453</v>
      </c>
      <c r="D189" s="5" t="s">
        <v>260</v>
      </c>
      <c r="E189" s="57"/>
      <c r="F189" s="47"/>
      <c r="G189" s="47"/>
      <c r="H189" s="47"/>
      <c r="I189" s="47"/>
      <c r="J189" s="47"/>
      <c r="K189" s="276">
        <f>totalTHRUPUT/numLINES*totalWeight/1000</f>
        <v>273264.61309772724</v>
      </c>
      <c r="M189" s="276">
        <f t="shared" ref="M189:R189" si="67">totalTHRUPUT/numLINES*totalWeight/1000</f>
        <v>273264.61309772724</v>
      </c>
      <c r="N189" s="276">
        <f t="shared" si="67"/>
        <v>273264.61309772724</v>
      </c>
      <c r="O189" s="276">
        <f t="shared" si="67"/>
        <v>273264.61309772724</v>
      </c>
      <c r="P189" s="276">
        <f t="shared" si="67"/>
        <v>273264.61309772724</v>
      </c>
      <c r="Q189" s="276">
        <f t="shared" si="67"/>
        <v>273264.61309772724</v>
      </c>
      <c r="R189" s="276">
        <f t="shared" si="67"/>
        <v>-7.2333187523562977E-12</v>
      </c>
      <c r="S189" s="276">
        <f>totalTHRUPUT/numLINES*totalWeight/1000</f>
        <v>273264.61309772724</v>
      </c>
      <c r="T189" s="276">
        <f>totalTHRUPUT/numLINES*totalWeight/1000</f>
        <v>273264.61309772724</v>
      </c>
    </row>
    <row r="190" spans="1:20" ht="14.1" customHeight="1" outlineLevel="1" x14ac:dyDescent="0.25">
      <c r="A190" s="338" t="s">
        <v>450</v>
      </c>
      <c r="B190" s="339"/>
      <c r="C190" s="9" t="s">
        <v>454</v>
      </c>
      <c r="D190" s="5" t="s">
        <v>455</v>
      </c>
      <c r="E190" s="236"/>
      <c r="F190" s="47"/>
      <c r="G190" s="47"/>
      <c r="H190" s="47"/>
      <c r="I190" s="47"/>
      <c r="J190" s="47"/>
      <c r="K190" s="247">
        <v>0.5</v>
      </c>
      <c r="M190" s="247">
        <v>0.5</v>
      </c>
      <c r="N190" s="247">
        <v>0.5</v>
      </c>
      <c r="O190" s="247">
        <v>0.5</v>
      </c>
      <c r="P190" s="247">
        <v>0.5</v>
      </c>
      <c r="Q190" s="247">
        <v>0.5</v>
      </c>
      <c r="R190" s="247">
        <v>0.5</v>
      </c>
      <c r="S190" s="247">
        <v>0.5</v>
      </c>
      <c r="T190" s="247">
        <v>0.5</v>
      </c>
    </row>
    <row r="191" spans="1:20" ht="14.1" customHeight="1" outlineLevel="1" x14ac:dyDescent="0.25">
      <c r="A191" s="143" t="s">
        <v>457</v>
      </c>
      <c r="B191" s="143"/>
      <c r="C191" s="9" t="s">
        <v>458</v>
      </c>
      <c r="D191" s="5" t="s">
        <v>459</v>
      </c>
      <c r="E191" s="236"/>
      <c r="F191" s="47"/>
      <c r="G191" s="47"/>
      <c r="H191" s="47"/>
      <c r="I191" s="47"/>
      <c r="J191" s="47"/>
      <c r="K191" s="241">
        <v>0.15</v>
      </c>
      <c r="M191" s="241">
        <v>0.15</v>
      </c>
      <c r="N191" s="241">
        <v>0.15</v>
      </c>
      <c r="O191" s="241">
        <v>0.15</v>
      </c>
      <c r="P191" s="241">
        <v>0.15</v>
      </c>
      <c r="Q191" s="241">
        <v>0.15</v>
      </c>
      <c r="R191" s="241">
        <v>0.15</v>
      </c>
      <c r="S191" s="241">
        <v>0.15</v>
      </c>
      <c r="T191" s="241">
        <v>0.15</v>
      </c>
    </row>
    <row r="192" spans="1:20" ht="14.1" customHeight="1" outlineLevel="1" x14ac:dyDescent="0.25">
      <c r="A192" s="127"/>
      <c r="B192" s="127"/>
      <c r="C192" s="9"/>
      <c r="E192" s="236"/>
      <c r="F192" s="47"/>
      <c r="G192" s="47"/>
      <c r="H192" s="47"/>
      <c r="I192" s="47"/>
      <c r="J192" s="47"/>
      <c r="K192" s="274"/>
      <c r="M192" s="274"/>
      <c r="N192" s="274"/>
      <c r="O192" s="274"/>
      <c r="P192" s="274"/>
      <c r="Q192" s="274"/>
      <c r="R192" s="274"/>
      <c r="S192" s="274"/>
      <c r="T192" s="274"/>
    </row>
    <row r="193" spans="1:20" ht="14.1" customHeight="1" outlineLevel="1" x14ac:dyDescent="0.25">
      <c r="A193" s="220" t="s">
        <v>460</v>
      </c>
      <c r="B193" s="221"/>
      <c r="C193" s="222" t="s">
        <v>461</v>
      </c>
      <c r="D193" s="223" t="s">
        <v>462</v>
      </c>
      <c r="E193" s="224"/>
      <c r="F193" s="225"/>
      <c r="G193" s="225"/>
      <c r="H193" s="225"/>
      <c r="I193" s="225"/>
      <c r="J193" s="225"/>
      <c r="K193" s="278">
        <v>10000</v>
      </c>
      <c r="M193" s="278">
        <v>10000</v>
      </c>
      <c r="N193" s="278">
        <v>10000</v>
      </c>
      <c r="O193" s="278">
        <v>10000</v>
      </c>
      <c r="P193" s="278">
        <v>10000</v>
      </c>
      <c r="Q193" s="278">
        <v>10000</v>
      </c>
      <c r="R193" s="278">
        <v>10000</v>
      </c>
      <c r="S193" s="278">
        <v>10000</v>
      </c>
      <c r="T193" s="278">
        <v>10000</v>
      </c>
    </row>
    <row r="194" spans="1:20" s="59" customFormat="1" x14ac:dyDescent="0.25">
      <c r="C194" s="60"/>
      <c r="E194" s="61"/>
      <c r="K194" s="61"/>
      <c r="M194" s="61"/>
      <c r="N194" s="61"/>
      <c r="O194" s="61"/>
      <c r="P194" s="61"/>
      <c r="Q194" s="61"/>
      <c r="R194" s="61"/>
      <c r="S194" s="61"/>
      <c r="T194" s="61"/>
    </row>
    <row r="195" spans="1:20" s="59" customFormat="1" x14ac:dyDescent="0.25">
      <c r="C195" s="60"/>
      <c r="E195" s="61"/>
      <c r="K195" s="61"/>
      <c r="M195" s="61"/>
      <c r="N195" s="61"/>
      <c r="O195" s="61"/>
      <c r="P195" s="61"/>
      <c r="Q195" s="61"/>
      <c r="R195" s="61"/>
      <c r="S195" s="61"/>
      <c r="T195" s="61"/>
    </row>
    <row r="196" spans="1:20" s="21" customFormat="1" x14ac:dyDescent="0.25">
      <c r="A196" s="207" t="s">
        <v>99</v>
      </c>
      <c r="B196" s="208"/>
      <c r="C196" s="209" t="s">
        <v>323</v>
      </c>
      <c r="D196" s="210" t="s">
        <v>180</v>
      </c>
      <c r="E196" s="44">
        <v>2E-3</v>
      </c>
      <c r="F196" s="211"/>
      <c r="G196" s="211"/>
      <c r="H196" s="211"/>
      <c r="I196" s="211"/>
      <c r="J196" s="44">
        <v>2E-3</v>
      </c>
      <c r="K196" s="212">
        <f>warehouse+transportation+otherFees</f>
        <v>6.3597441269572664E-3</v>
      </c>
      <c r="M196" s="212">
        <f>logistics_matl2+logisitcs_matl1</f>
        <v>3.4304514924476948E-4</v>
      </c>
      <c r="N196" s="212">
        <f>logistics_matl2+logisitcs_matl1</f>
        <v>3.4304514924487258E-4</v>
      </c>
      <c r="O196" s="212">
        <f>logistics_matl2+logisitcs_matl1</f>
        <v>3.4304514924487258E-4</v>
      </c>
      <c r="P196" s="212">
        <f>warehouse+transportation+otherFees</f>
        <v>4.4601872992180974E-3</v>
      </c>
      <c r="Q196" s="212">
        <f>warehouse+transportation+otherFees</f>
        <v>6.0835820088998944E-3</v>
      </c>
      <c r="R196" s="212">
        <f>warehouse+transportation+otherFees</f>
        <v>2279968949414.2505</v>
      </c>
      <c r="S196" s="212">
        <f>warehouse+transportation+otherFees</f>
        <v>6.3597441269572664E-3</v>
      </c>
      <c r="T196" s="212">
        <f>warehouse+transportation+otherFees</f>
        <v>6.3597441269572664E-3</v>
      </c>
    </row>
    <row r="197" spans="1:20" outlineLevel="1" x14ac:dyDescent="0.25">
      <c r="A197" s="8"/>
      <c r="C197" s="9"/>
      <c r="D197" s="5" t="s">
        <v>95</v>
      </c>
      <c r="E197" s="186"/>
      <c r="J197" s="186"/>
      <c r="K197" s="214">
        <f>logistics*volume</f>
        <v>51984548.493748695</v>
      </c>
      <c r="M197" s="214">
        <f t="shared" ref="M197:R197" si="68">logistics*volume</f>
        <v>2804051.0499267457</v>
      </c>
      <c r="N197" s="214">
        <f t="shared" si="68"/>
        <v>2804051.0499275886</v>
      </c>
      <c r="O197" s="214">
        <f t="shared" si="68"/>
        <v>2804051.0499275886</v>
      </c>
      <c r="P197" s="214">
        <f t="shared" si="68"/>
        <v>36457570.983808726</v>
      </c>
      <c r="Q197" s="214">
        <f t="shared" si="68"/>
        <v>49727199.340747736</v>
      </c>
      <c r="R197" s="214">
        <f t="shared" si="68"/>
        <v>1.8636466192512084E+22</v>
      </c>
      <c r="S197" s="214">
        <f>logistics*volume</f>
        <v>51984548.493748695</v>
      </c>
      <c r="T197" s="214">
        <f>logistics*volume</f>
        <v>51984548.493748695</v>
      </c>
    </row>
    <row r="198" spans="1:20" outlineLevel="1" x14ac:dyDescent="0.25">
      <c r="A198" s="8"/>
      <c r="C198" s="9"/>
      <c r="D198" s="5" t="s">
        <v>474</v>
      </c>
      <c r="E198" s="186"/>
      <c r="J198" s="186"/>
      <c r="K198" s="335">
        <f>logistics/dollPerPENNYtotal</f>
        <v>0.18812190724176989</v>
      </c>
      <c r="M198" s="215">
        <f t="shared" ref="M198:R198" si="69">logistics/dollPerPENNYtotal</f>
        <v>-1.4597495361908517E-6</v>
      </c>
      <c r="N198" s="215">
        <f t="shared" si="69"/>
        <v>-5.3215863725785096E-7</v>
      </c>
      <c r="O198" s="215">
        <f t="shared" si="69"/>
        <v>1.5577319717439629E-2</v>
      </c>
      <c r="P198" s="335">
        <f t="shared" si="69"/>
        <v>0.14868549808387535</v>
      </c>
      <c r="Q198" s="335">
        <f t="shared" si="69"/>
        <v>0.1814238881970465</v>
      </c>
      <c r="R198" s="335">
        <f t="shared" si="69"/>
        <v>9.090909090909105E-2</v>
      </c>
      <c r="S198" s="335">
        <f>logistics/dollPerPENNYtotal</f>
        <v>0.18812190724176989</v>
      </c>
      <c r="T198" s="335">
        <f>logistics/dollPerPENNYtotal</f>
        <v>0.18812190724176989</v>
      </c>
    </row>
    <row r="199" spans="1:20" outlineLevel="1" x14ac:dyDescent="0.25">
      <c r="A199" s="8"/>
      <c r="C199" s="9"/>
      <c r="E199" s="186"/>
      <c r="J199" s="186"/>
      <c r="K199" s="8"/>
      <c r="M199" s="8"/>
      <c r="N199" s="8"/>
      <c r="O199" s="8"/>
      <c r="P199" s="8"/>
      <c r="Q199" s="8"/>
      <c r="R199" s="8"/>
      <c r="S199" s="8"/>
      <c r="T199" s="8"/>
    </row>
    <row r="200" spans="1:20" ht="14.1" customHeight="1" outlineLevel="1" x14ac:dyDescent="0.25">
      <c r="A200" s="220" t="s">
        <v>495</v>
      </c>
      <c r="B200" s="221"/>
      <c r="C200" s="222" t="s">
        <v>496</v>
      </c>
      <c r="D200" s="223"/>
      <c r="E200" s="224"/>
      <c r="F200" s="225"/>
      <c r="G200" s="225"/>
      <c r="H200" s="225"/>
      <c r="I200" s="225"/>
      <c r="J200" s="225"/>
      <c r="K200" s="237"/>
      <c r="M200" s="237"/>
      <c r="N200" s="237"/>
      <c r="O200" s="237"/>
      <c r="P200" s="237"/>
      <c r="Q200" s="237"/>
      <c r="R200" s="237"/>
      <c r="S200" s="237"/>
      <c r="T200" s="237"/>
    </row>
    <row r="201" spans="1:20" ht="14.1" customHeight="1" outlineLevel="1" x14ac:dyDescent="0.25">
      <c r="A201" s="338" t="s">
        <v>475</v>
      </c>
      <c r="B201" s="339"/>
      <c r="C201" s="9" t="s">
        <v>476</v>
      </c>
      <c r="D201" s="5" t="s">
        <v>245</v>
      </c>
      <c r="E201" s="71"/>
      <c r="F201" s="47"/>
      <c r="G201" s="47"/>
      <c r="H201" s="47"/>
      <c r="I201" s="47"/>
      <c r="J201" s="47"/>
      <c r="K201" s="290">
        <v>19</v>
      </c>
      <c r="M201" s="277"/>
      <c r="N201" s="277"/>
      <c r="O201" s="277"/>
      <c r="P201" s="290">
        <v>19</v>
      </c>
      <c r="Q201" s="290">
        <v>19</v>
      </c>
      <c r="R201" s="290">
        <v>19</v>
      </c>
      <c r="S201" s="290">
        <v>19</v>
      </c>
      <c r="T201" s="290">
        <v>19</v>
      </c>
    </row>
    <row r="202" spans="1:20" outlineLevel="1" x14ac:dyDescent="0.25">
      <c r="A202" s="338" t="s">
        <v>477</v>
      </c>
      <c r="B202" s="339"/>
      <c r="C202" s="9" t="s">
        <v>478</v>
      </c>
      <c r="D202" s="5" t="s">
        <v>245</v>
      </c>
      <c r="E202" s="186"/>
      <c r="J202" s="186"/>
      <c r="K202" s="291">
        <v>1.62</v>
      </c>
      <c r="M202" s="8"/>
      <c r="N202" s="8"/>
      <c r="O202" s="8"/>
      <c r="P202" s="291">
        <v>1.62</v>
      </c>
      <c r="Q202" s="291">
        <v>1.62</v>
      </c>
      <c r="R202" s="291">
        <v>1.62</v>
      </c>
      <c r="S202" s="291">
        <v>1.62</v>
      </c>
      <c r="T202" s="291">
        <v>1.62</v>
      </c>
    </row>
    <row r="203" spans="1:20" outlineLevel="1" x14ac:dyDescent="0.25">
      <c r="A203" s="338" t="s">
        <v>479</v>
      </c>
      <c r="B203" s="339"/>
      <c r="C203" s="9" t="s">
        <v>480</v>
      </c>
      <c r="D203" s="5" t="s">
        <v>481</v>
      </c>
      <c r="E203" s="186"/>
      <c r="J203" s="186"/>
      <c r="K203" s="292">
        <v>50</v>
      </c>
      <c r="L203" s="5">
        <v>211</v>
      </c>
      <c r="M203" s="8"/>
      <c r="N203" s="8"/>
      <c r="O203" s="8"/>
      <c r="P203" s="292">
        <v>50</v>
      </c>
      <c r="Q203" s="292">
        <v>50</v>
      </c>
      <c r="R203" s="292">
        <v>50</v>
      </c>
      <c r="S203" s="292">
        <v>50</v>
      </c>
      <c r="T203" s="292">
        <v>50</v>
      </c>
    </row>
    <row r="204" spans="1:20" outlineLevel="1" x14ac:dyDescent="0.25">
      <c r="A204" s="338" t="s">
        <v>494</v>
      </c>
      <c r="B204" s="339"/>
      <c r="C204" s="9" t="s">
        <v>483</v>
      </c>
      <c r="D204" s="5" t="s">
        <v>484</v>
      </c>
      <c r="E204" s="186"/>
      <c r="J204" s="186"/>
      <c r="K204" s="293">
        <v>20</v>
      </c>
      <c r="L204" s="5">
        <v>212</v>
      </c>
      <c r="M204" s="8"/>
      <c r="N204" s="8"/>
      <c r="O204" s="8"/>
      <c r="P204" s="293">
        <v>5</v>
      </c>
      <c r="Q204" s="293">
        <v>20</v>
      </c>
      <c r="R204" s="293">
        <v>20</v>
      </c>
      <c r="S204" s="293">
        <v>20</v>
      </c>
      <c r="T204" s="293">
        <v>20</v>
      </c>
    </row>
    <row r="205" spans="1:20" outlineLevel="1" x14ac:dyDescent="0.25">
      <c r="A205" s="338" t="s">
        <v>482</v>
      </c>
      <c r="B205" s="339"/>
      <c r="C205" s="9" t="s">
        <v>485</v>
      </c>
      <c r="D205" s="5" t="s">
        <v>245</v>
      </c>
      <c r="E205" s="186"/>
      <c r="J205" s="186"/>
      <c r="K205" s="294">
        <f>diameter*4+5</f>
        <v>81</v>
      </c>
      <c r="M205" s="8"/>
      <c r="N205" s="8"/>
      <c r="O205" s="8"/>
      <c r="P205" s="294">
        <f>diameter*4+5</f>
        <v>81</v>
      </c>
      <c r="Q205" s="294">
        <f>diameter*4+5</f>
        <v>81</v>
      </c>
      <c r="R205" s="294">
        <f>diameter*4+5</f>
        <v>81</v>
      </c>
      <c r="S205" s="294">
        <f>diameter*4+5</f>
        <v>81</v>
      </c>
      <c r="T205" s="294">
        <f>diameter*4+5</f>
        <v>81</v>
      </c>
    </row>
    <row r="206" spans="1:20" outlineLevel="1" x14ac:dyDescent="0.25">
      <c r="A206" s="338" t="s">
        <v>486</v>
      </c>
      <c r="B206" s="339"/>
      <c r="C206" s="9" t="s">
        <v>488</v>
      </c>
      <c r="D206" s="5" t="s">
        <v>245</v>
      </c>
      <c r="E206" s="186"/>
      <c r="J206" s="186"/>
      <c r="K206" s="294">
        <f>diameter*5+5</f>
        <v>100</v>
      </c>
      <c r="M206" s="8"/>
      <c r="N206" s="8"/>
      <c r="O206" s="8"/>
      <c r="P206" s="294">
        <f>diameter*5+5</f>
        <v>100</v>
      </c>
      <c r="Q206" s="294">
        <f>diameter*5+5</f>
        <v>100</v>
      </c>
      <c r="R206" s="294">
        <f>diameter*5+5</f>
        <v>100</v>
      </c>
      <c r="S206" s="294">
        <f>diameter*5+5</f>
        <v>100</v>
      </c>
      <c r="T206" s="294">
        <f>diameter*5+5</f>
        <v>100</v>
      </c>
    </row>
    <row r="207" spans="1:20" outlineLevel="1" x14ac:dyDescent="0.25">
      <c r="A207" s="338" t="s">
        <v>487</v>
      </c>
      <c r="B207" s="339"/>
      <c r="C207" s="9" t="s">
        <v>489</v>
      </c>
      <c r="D207" s="5" t="s">
        <v>245</v>
      </c>
      <c r="E207" s="186"/>
      <c r="J207" s="186"/>
      <c r="K207" s="294">
        <f>prodThickness*prodPerPckg</f>
        <v>81</v>
      </c>
      <c r="M207" s="8"/>
      <c r="N207" s="8"/>
      <c r="O207" s="8"/>
      <c r="P207" s="294">
        <f>prodThickness*prodPerPckg</f>
        <v>81</v>
      </c>
      <c r="Q207" s="294">
        <f>prodThickness*prodPerPckg</f>
        <v>81</v>
      </c>
      <c r="R207" s="294">
        <f>prodThickness*prodPerPckg</f>
        <v>81</v>
      </c>
      <c r="S207" s="294">
        <f>prodThickness*prodPerPckg</f>
        <v>81</v>
      </c>
      <c r="T207" s="294">
        <f>prodThickness*prodPerPckg</f>
        <v>81</v>
      </c>
    </row>
    <row r="208" spans="1:20" outlineLevel="1" x14ac:dyDescent="0.25">
      <c r="A208" s="338" t="s">
        <v>490</v>
      </c>
      <c r="B208" s="339"/>
      <c r="C208" s="9" t="s">
        <v>491</v>
      </c>
      <c r="D208" s="5" t="s">
        <v>309</v>
      </c>
      <c r="E208" s="186"/>
      <c r="J208" s="186"/>
      <c r="K208" s="295">
        <f>totalWeight*prodPerPckg*pckgPerCase+5*pckgPerCase</f>
        <v>2600</v>
      </c>
      <c r="L208" s="5">
        <v>216</v>
      </c>
      <c r="M208" s="8"/>
      <c r="N208" s="8"/>
      <c r="O208" s="8"/>
      <c r="P208" s="295">
        <f>totalWeight*prodPerPckg*pckgPerCase+5*pckgPerCase</f>
        <v>650</v>
      </c>
      <c r="Q208" s="295">
        <f>totalWeight*prodPerPckg*pckgPerCase+5*pckgPerCase</f>
        <v>2600</v>
      </c>
      <c r="R208" s="295">
        <f>totalWeight*prodPerPckg*pckgPerCase+5*pckgPerCase</f>
        <v>2600</v>
      </c>
      <c r="S208" s="295">
        <f>totalWeight*prodPerPckg*pckgPerCase+5*pckgPerCase</f>
        <v>2600</v>
      </c>
      <c r="T208" s="295">
        <f>totalWeight*prodPerPckg*pckgPerCase+5*pckgPerCase</f>
        <v>2600</v>
      </c>
    </row>
    <row r="209" spans="1:20" outlineLevel="1" x14ac:dyDescent="0.25">
      <c r="A209" s="338" t="s">
        <v>492</v>
      </c>
      <c r="B209" s="339"/>
      <c r="C209" s="9" t="s">
        <v>605</v>
      </c>
      <c r="D209" s="5" t="s">
        <v>493</v>
      </c>
      <c r="E209" s="186"/>
      <c r="J209" s="186"/>
      <c r="K209" s="296">
        <f>pckgMass/454</f>
        <v>5.7268722466960353</v>
      </c>
      <c r="M209" s="8"/>
      <c r="N209" s="8"/>
      <c r="O209" s="8"/>
      <c r="P209" s="296">
        <f>pckgMass/454</f>
        <v>1.4317180616740088</v>
      </c>
      <c r="Q209" s="296">
        <f>pckgMass/454</f>
        <v>5.7268722466960353</v>
      </c>
      <c r="R209" s="296">
        <f>pckgMass/454</f>
        <v>5.7268722466960353</v>
      </c>
      <c r="S209" s="296">
        <f>pckgMass/454</f>
        <v>5.7268722466960353</v>
      </c>
      <c r="T209" s="296">
        <f>pckgMass/454</f>
        <v>5.7268722466960353</v>
      </c>
    </row>
    <row r="210" spans="1:20" outlineLevel="1" x14ac:dyDescent="0.25">
      <c r="A210" s="8"/>
      <c r="C210" s="9"/>
      <c r="E210" s="186"/>
      <c r="J210" s="186"/>
      <c r="K210" s="8"/>
      <c r="M210" s="8"/>
      <c r="N210" s="8"/>
      <c r="O210" s="8"/>
      <c r="P210" s="8"/>
      <c r="Q210" s="8"/>
      <c r="R210" s="8"/>
      <c r="S210" s="8"/>
      <c r="T210" s="8"/>
    </row>
    <row r="211" spans="1:20" ht="14.1" customHeight="1" outlineLevel="1" x14ac:dyDescent="0.25">
      <c r="A211" s="220" t="s">
        <v>497</v>
      </c>
      <c r="B211" s="221"/>
      <c r="C211" s="222" t="s">
        <v>498</v>
      </c>
      <c r="D211" s="223" t="s">
        <v>180</v>
      </c>
      <c r="E211" s="224"/>
      <c r="F211" s="225"/>
      <c r="G211" s="225"/>
      <c r="H211" s="225"/>
      <c r="I211" s="225"/>
      <c r="J211" s="225"/>
      <c r="K211" s="334">
        <f>mfgWarehouse+RegionalDCwarehouse+LocalDCwarehouse</f>
        <v>1.229109589041096E-3</v>
      </c>
      <c r="M211" s="237"/>
      <c r="N211" s="237"/>
      <c r="O211" s="237"/>
      <c r="P211" s="334">
        <f>mfgWarehouse+RegionalDCwarehouse+LocalDCwarehouse</f>
        <v>1.229109589041096E-3</v>
      </c>
      <c r="Q211" s="334">
        <f>mfgWarehouse+RegionalDCwarehouse+LocalDCwarehouse</f>
        <v>9.5273972602739725E-4</v>
      </c>
      <c r="R211" s="334">
        <f>mfgWarehouse+RegionalDCwarehouse+LocalDCwarehouse</f>
        <v>1.229109589041096E-3</v>
      </c>
      <c r="S211" s="334">
        <f>mfgWarehouse+RegionalDCwarehouse+LocalDCwarehouse</f>
        <v>1.229109589041096E-3</v>
      </c>
      <c r="T211" s="334">
        <f>mfgWarehouse+RegionalDCwarehouse+LocalDCwarehouse</f>
        <v>1.229109589041096E-3</v>
      </c>
    </row>
    <row r="212" spans="1:20" ht="14.1" customHeight="1" outlineLevel="2" x14ac:dyDescent="0.25">
      <c r="A212" s="338" t="s">
        <v>554</v>
      </c>
      <c r="B212" s="339"/>
      <c r="C212" s="9" t="s">
        <v>499</v>
      </c>
      <c r="D212" s="5" t="s">
        <v>180</v>
      </c>
      <c r="E212" s="71"/>
      <c r="F212" s="47"/>
      <c r="G212" s="47"/>
      <c r="H212" s="47"/>
      <c r="I212" s="47"/>
      <c r="J212" s="47"/>
      <c r="K212" s="297">
        <f>annualCost/volume</f>
        <v>8.2910958904109581E-4</v>
      </c>
      <c r="M212" s="277"/>
      <c r="N212" s="277"/>
      <c r="O212" s="277"/>
      <c r="P212" s="297">
        <f>annualCost/volume</f>
        <v>8.2910958904109581E-4</v>
      </c>
      <c r="Q212" s="297">
        <f>annualCost/volume</f>
        <v>5.5273972602739728E-4</v>
      </c>
      <c r="R212" s="297">
        <f>annualCost/volume</f>
        <v>8.2910958904109581E-4</v>
      </c>
      <c r="S212" s="297">
        <f>annualCost/volume</f>
        <v>8.2910958904109581E-4</v>
      </c>
      <c r="T212" s="297">
        <f>annualCost/volume</f>
        <v>8.2910958904109581E-4</v>
      </c>
    </row>
    <row r="213" spans="1:20" outlineLevel="2" x14ac:dyDescent="0.25">
      <c r="A213" s="338" t="s">
        <v>500</v>
      </c>
      <c r="B213" s="339"/>
      <c r="C213" s="9" t="s">
        <v>501</v>
      </c>
      <c r="D213" s="5" t="s">
        <v>95</v>
      </c>
      <c r="E213" s="186"/>
      <c r="J213" s="186"/>
      <c r="K213" s="299">
        <f>atManufacturingWarehouse/nbYearsWarehouse</f>
        <v>6777141.7808219176</v>
      </c>
      <c r="L213" s="5" t="s">
        <v>316</v>
      </c>
      <c r="M213" s="8"/>
      <c r="N213" s="8"/>
      <c r="O213" s="8"/>
      <c r="P213" s="299">
        <f>atManufacturingWarehouse/nbYearsWarehouse</f>
        <v>6777141.7808219176</v>
      </c>
      <c r="Q213" s="299">
        <f>atManufacturingWarehouse/nbYearsWarehouse</f>
        <v>4518094.5205479451</v>
      </c>
      <c r="R213" s="299">
        <f>atManufacturingWarehouse/nbYearsWarehouse</f>
        <v>6777141.7808219176</v>
      </c>
      <c r="S213" s="299">
        <f>atManufacturingWarehouse/nbYearsWarehouse</f>
        <v>6777141.7808219176</v>
      </c>
      <c r="T213" s="299">
        <f>atManufacturingWarehouse/nbYearsWarehouse</f>
        <v>6777141.7808219176</v>
      </c>
    </row>
    <row r="214" spans="1:20" outlineLevel="2" x14ac:dyDescent="0.25">
      <c r="A214" s="338" t="s">
        <v>502</v>
      </c>
      <c r="B214" s="339"/>
      <c r="C214" s="9" t="s">
        <v>503</v>
      </c>
      <c r="D214" s="5" t="s">
        <v>16</v>
      </c>
      <c r="E214" s="186"/>
      <c r="J214" s="186"/>
      <c r="K214" s="298">
        <v>30</v>
      </c>
      <c r="M214" s="8"/>
      <c r="N214" s="8"/>
      <c r="O214" s="8"/>
      <c r="P214" s="298">
        <v>30</v>
      </c>
      <c r="Q214" s="298">
        <v>30</v>
      </c>
      <c r="R214" s="298">
        <v>30</v>
      </c>
      <c r="S214" s="298">
        <v>30</v>
      </c>
      <c r="T214" s="298">
        <v>30</v>
      </c>
    </row>
    <row r="215" spans="1:20" outlineLevel="2" x14ac:dyDescent="0.25">
      <c r="A215" s="338" t="s">
        <v>543</v>
      </c>
      <c r="B215" s="339"/>
      <c r="C215" s="9" t="s">
        <v>564</v>
      </c>
      <c r="D215" s="5" t="s">
        <v>544</v>
      </c>
      <c r="E215" s="186"/>
      <c r="J215" s="186"/>
      <c r="K215" s="299">
        <f>spaceWarehouse*price.mm2Warehouse</f>
        <v>203314253.42465752</v>
      </c>
      <c r="M215" s="8"/>
      <c r="N215" s="8"/>
      <c r="O215" s="8"/>
      <c r="P215" s="299">
        <f>spaceWarehouse*price.mm2Warehouse</f>
        <v>203314253.42465752</v>
      </c>
      <c r="Q215" s="299">
        <f>spaceWarehouse*price.mm2Warehouse</f>
        <v>135542835.61643836</v>
      </c>
      <c r="R215" s="299">
        <f>spaceWarehouse*price.mm2Warehouse</f>
        <v>203314253.42465752</v>
      </c>
      <c r="S215" s="299">
        <f>spaceWarehouse*price.mm2Warehouse</f>
        <v>203314253.42465752</v>
      </c>
      <c r="T215" s="299">
        <f>spaceWarehouse*price.mm2Warehouse</f>
        <v>203314253.42465752</v>
      </c>
    </row>
    <row r="216" spans="1:20" outlineLevel="2" x14ac:dyDescent="0.25">
      <c r="A216" s="338" t="s">
        <v>545</v>
      </c>
      <c r="B216" s="339"/>
      <c r="C216" s="9" t="s">
        <v>565</v>
      </c>
      <c r="D216" s="5" t="s">
        <v>546</v>
      </c>
      <c r="E216" s="186"/>
      <c r="J216" s="186"/>
      <c r="K216" s="300">
        <f>qtyOfProdsWarehouse*(pckgLength/1000)*(pckgWidth/1000)/nbMaxStack</f>
        <v>377907.53424657532</v>
      </c>
      <c r="M216" s="8"/>
      <c r="N216" s="8"/>
      <c r="O216" s="8"/>
      <c r="P216" s="300">
        <f>qtyOfProdsWarehouse*(pckgLength/1000)*(pckgWidth/1000)/nbMaxStack</f>
        <v>377907.53424657532</v>
      </c>
      <c r="Q216" s="300">
        <f>qtyOfProdsWarehouse*(pckgLength/1000)*(pckgWidth/1000)/nbMaxStack</f>
        <v>251938.35616438359</v>
      </c>
      <c r="R216" s="300">
        <f>qtyOfProdsWarehouse*(pckgLength/1000)*(pckgWidth/1000)/nbMaxStack</f>
        <v>377907.53424657532</v>
      </c>
      <c r="S216" s="300">
        <f>qtyOfProdsWarehouse*(pckgLength/1000)*(pckgWidth/1000)/nbMaxStack</f>
        <v>377907.53424657532</v>
      </c>
      <c r="T216" s="300">
        <f>qtyOfProdsWarehouse*(pckgLength/1000)*(pckgWidth/1000)/nbMaxStack</f>
        <v>377907.53424657532</v>
      </c>
    </row>
    <row r="217" spans="1:20" outlineLevel="2" x14ac:dyDescent="0.25">
      <c r="A217" s="338" t="s">
        <v>547</v>
      </c>
      <c r="B217" s="339"/>
      <c r="C217" s="9" t="s">
        <v>563</v>
      </c>
      <c r="D217" s="5" t="s">
        <v>16</v>
      </c>
      <c r="E217" s="186"/>
      <c r="J217" s="186"/>
      <c r="K217" s="300">
        <f>qtyOfProdsWarehouse/nbMaxStack</f>
        <v>46655251.141552508</v>
      </c>
      <c r="N217" s="8"/>
      <c r="O217" s="8"/>
      <c r="P217" s="300">
        <f>qtyOfProdsWarehouse/nbMaxStack</f>
        <v>46655251.141552508</v>
      </c>
      <c r="Q217" s="300">
        <f>qtyOfProdsWarehouse/nbMaxStack</f>
        <v>31103500.76103501</v>
      </c>
      <c r="R217" s="300">
        <f>qtyOfProdsWarehouse/nbMaxStack</f>
        <v>46655251.141552508</v>
      </c>
      <c r="S217" s="300">
        <f>qtyOfProdsWarehouse/nbMaxStack</f>
        <v>46655251.141552508</v>
      </c>
      <c r="T217" s="300">
        <f>qtyOfProdsWarehouse/nbMaxStack</f>
        <v>46655251.141552508</v>
      </c>
    </row>
    <row r="218" spans="1:20" outlineLevel="2" x14ac:dyDescent="0.25">
      <c r="A218" s="338" t="s">
        <v>548</v>
      </c>
      <c r="B218" s="339"/>
      <c r="C218" s="9" t="s">
        <v>561</v>
      </c>
      <c r="D218" s="5" t="s">
        <v>16</v>
      </c>
      <c r="E218" s="186"/>
      <c r="J218" s="186"/>
      <c r="K218" s="294">
        <f>ROUNDDOWN(mmMaxStack/pckgHeight,0)</f>
        <v>12</v>
      </c>
      <c r="M218" s="8"/>
      <c r="N218" s="8"/>
      <c r="O218" s="8"/>
      <c r="P218" s="294">
        <f>ROUNDDOWN(mmMaxStack/pckgHeight,0)</f>
        <v>12</v>
      </c>
      <c r="Q218" s="294">
        <f>ROUNDDOWN(mmMaxStack/pckgHeight,0)</f>
        <v>12</v>
      </c>
      <c r="R218" s="294">
        <f>ROUNDDOWN(mmMaxStack/pckgHeight,0)</f>
        <v>12</v>
      </c>
      <c r="S218" s="294">
        <f>ROUNDDOWN(mmMaxStack/pckgHeight,0)</f>
        <v>12</v>
      </c>
      <c r="T218" s="294">
        <f>ROUNDDOWN(mmMaxStack/pckgHeight,0)</f>
        <v>12</v>
      </c>
    </row>
    <row r="219" spans="1:20" outlineLevel="2" x14ac:dyDescent="0.25">
      <c r="A219" s="338" t="s">
        <v>549</v>
      </c>
      <c r="B219" s="339"/>
      <c r="C219" s="9" t="s">
        <v>560</v>
      </c>
      <c r="D219" s="5" t="s">
        <v>245</v>
      </c>
      <c r="E219" s="186"/>
      <c r="J219" s="186"/>
      <c r="K219" s="301">
        <v>1000</v>
      </c>
      <c r="L219" s="361">
        <v>237</v>
      </c>
      <c r="M219" s="362"/>
      <c r="N219" s="362"/>
      <c r="O219" s="8"/>
      <c r="P219" s="301">
        <v>1000</v>
      </c>
      <c r="Q219" s="301">
        <v>1000</v>
      </c>
      <c r="R219" s="301">
        <v>1000</v>
      </c>
      <c r="S219" s="301">
        <v>1000</v>
      </c>
      <c r="T219" s="301">
        <v>1000</v>
      </c>
    </row>
    <row r="220" spans="1:20" outlineLevel="2" x14ac:dyDescent="0.25">
      <c r="A220" s="338" t="s">
        <v>550</v>
      </c>
      <c r="B220" s="339"/>
      <c r="C220" s="9" t="s">
        <v>559</v>
      </c>
      <c r="E220" s="186"/>
      <c r="J220" s="186"/>
      <c r="K220" s="302">
        <f>daysOfProductionWarehouse*volume/365</f>
        <v>559863013.69863009</v>
      </c>
      <c r="M220" s="8"/>
      <c r="N220" s="8"/>
      <c r="O220" s="8"/>
      <c r="P220" s="302">
        <f>daysOfProductionWarehouse*volume/365</f>
        <v>559863013.69863009</v>
      </c>
      <c r="Q220" s="302">
        <f>daysOfProductionWarehouse*volume/365</f>
        <v>373242009.13242012</v>
      </c>
      <c r="R220" s="302">
        <f>daysOfProductionWarehouse*volume/365</f>
        <v>559863013.69863009</v>
      </c>
      <c r="S220" s="302">
        <f>daysOfProductionWarehouse*volume/365</f>
        <v>559863013.69863009</v>
      </c>
      <c r="T220" s="302">
        <f>daysOfProductionWarehouse*volume/365</f>
        <v>559863013.69863009</v>
      </c>
    </row>
    <row r="221" spans="1:20" outlineLevel="2" x14ac:dyDescent="0.25">
      <c r="A221" s="338" t="s">
        <v>551</v>
      </c>
      <c r="B221" s="339"/>
      <c r="C221" s="9" t="s">
        <v>562</v>
      </c>
      <c r="E221" s="186"/>
      <c r="J221" s="186"/>
      <c r="K221" s="303">
        <v>25</v>
      </c>
      <c r="L221" s="5" t="s">
        <v>601</v>
      </c>
      <c r="M221" s="8" t="s">
        <v>602</v>
      </c>
      <c r="N221" s="8"/>
      <c r="O221" s="8"/>
      <c r="P221" s="303">
        <v>25</v>
      </c>
      <c r="Q221" s="303">
        <f>25/1.5</f>
        <v>16.666666666666668</v>
      </c>
      <c r="R221" s="303">
        <v>25</v>
      </c>
      <c r="S221" s="303">
        <v>25</v>
      </c>
      <c r="T221" s="303">
        <v>25</v>
      </c>
    </row>
    <row r="222" spans="1:20" outlineLevel="2" x14ac:dyDescent="0.25">
      <c r="A222" s="338" t="s">
        <v>552</v>
      </c>
      <c r="B222" s="339"/>
      <c r="C222" s="9" t="s">
        <v>566</v>
      </c>
      <c r="D222" s="5" t="s">
        <v>553</v>
      </c>
      <c r="E222" s="186"/>
      <c r="J222" s="186"/>
      <c r="K222" s="304">
        <v>538</v>
      </c>
      <c r="M222" s="8"/>
      <c r="N222" s="8"/>
      <c r="O222" s="8"/>
      <c r="P222" s="304">
        <v>538</v>
      </c>
      <c r="Q222" s="304">
        <v>538</v>
      </c>
      <c r="R222" s="304">
        <v>538</v>
      </c>
      <c r="S222" s="304">
        <v>538</v>
      </c>
      <c r="T222" s="304">
        <v>538</v>
      </c>
    </row>
    <row r="223" spans="1:20" outlineLevel="2" x14ac:dyDescent="0.25">
      <c r="A223" s="338" t="s">
        <v>555</v>
      </c>
      <c r="B223" s="339"/>
      <c r="C223" s="9" t="s">
        <v>557</v>
      </c>
      <c r="D223" s="5" t="s">
        <v>180</v>
      </c>
      <c r="E223" s="186"/>
      <c r="J223" s="186"/>
      <c r="K223" s="305">
        <v>2.0000000000000001E-4</v>
      </c>
      <c r="M223" s="8"/>
      <c r="N223" s="8"/>
      <c r="O223" s="8"/>
      <c r="P223" s="305">
        <v>2.0000000000000001E-4</v>
      </c>
      <c r="Q223" s="305">
        <v>2.0000000000000001E-4</v>
      </c>
      <c r="R223" s="305">
        <v>2.0000000000000001E-4</v>
      </c>
      <c r="S223" s="305">
        <v>2.0000000000000001E-4</v>
      </c>
      <c r="T223" s="305">
        <v>2.0000000000000001E-4</v>
      </c>
    </row>
    <row r="224" spans="1:20" outlineLevel="2" x14ac:dyDescent="0.25">
      <c r="A224" s="338" t="s">
        <v>556</v>
      </c>
      <c r="B224" s="339"/>
      <c r="C224" s="9" t="s">
        <v>558</v>
      </c>
      <c r="D224" s="5" t="s">
        <v>180</v>
      </c>
      <c r="E224" s="186"/>
      <c r="J224" s="186"/>
      <c r="K224" s="305">
        <v>2.0000000000000001E-4</v>
      </c>
      <c r="M224" s="8"/>
      <c r="N224" s="8"/>
      <c r="O224" s="8"/>
      <c r="P224" s="305">
        <v>2.0000000000000001E-4</v>
      </c>
      <c r="Q224" s="305">
        <v>2.0000000000000001E-4</v>
      </c>
      <c r="R224" s="305">
        <v>2.0000000000000001E-4</v>
      </c>
      <c r="S224" s="305">
        <v>2.0000000000000001E-4</v>
      </c>
      <c r="T224" s="305">
        <v>2.0000000000000001E-4</v>
      </c>
    </row>
    <row r="225" spans="1:20" outlineLevel="1" x14ac:dyDescent="0.25">
      <c r="A225" s="8"/>
      <c r="C225" s="9"/>
      <c r="E225" s="186"/>
      <c r="J225" s="186"/>
      <c r="K225" s="8"/>
      <c r="M225" s="8"/>
      <c r="N225" s="8"/>
      <c r="O225" s="8"/>
      <c r="P225" s="8"/>
      <c r="Q225" s="8"/>
      <c r="R225" s="8"/>
      <c r="S225" s="8"/>
      <c r="T225" s="8"/>
    </row>
    <row r="226" spans="1:20" ht="14.1" customHeight="1" outlineLevel="1" x14ac:dyDescent="0.25">
      <c r="A226" s="220" t="s">
        <v>504</v>
      </c>
      <c r="B226" s="221"/>
      <c r="C226" s="222" t="s">
        <v>505</v>
      </c>
      <c r="D226" s="223" t="s">
        <v>180</v>
      </c>
      <c r="E226" s="224"/>
      <c r="F226" s="225"/>
      <c r="G226" s="225"/>
      <c r="H226" s="225"/>
      <c r="I226" s="225"/>
      <c r="J226" s="225"/>
      <c r="K226" s="334">
        <f>mfgToPort+portToPort+portToRegDC+regDCtoLocDC+lastMile</f>
        <v>2.505958488258317E-3</v>
      </c>
      <c r="M226" s="237"/>
      <c r="N226" s="237"/>
      <c r="O226" s="237"/>
      <c r="P226" s="334">
        <f>mfgToPort+portToPort+portToRegDC+regDCtoLocDC+lastMile</f>
        <v>7.9735042808219182E-4</v>
      </c>
      <c r="Q226" s="334">
        <f>mfgToPort+portToPort+portToRegDC+regDCtoLocDC+lastMile</f>
        <v>2.505958488258317E-3</v>
      </c>
      <c r="R226" s="334">
        <f>mfgToPort+portToPort+portToRegDC+regDCtoLocDC+lastMile</f>
        <v>2.505958488258317E-3</v>
      </c>
      <c r="S226" s="334">
        <f>mfgToPort+portToPort+portToRegDC+regDCtoLocDC+lastMile</f>
        <v>2.505958488258317E-3</v>
      </c>
      <c r="T226" s="334">
        <f>mfgToPort+portToPort+portToRegDC+regDCtoLocDC+lastMile</f>
        <v>2.505958488258317E-3</v>
      </c>
    </row>
    <row r="227" spans="1:20" outlineLevel="2" x14ac:dyDescent="0.25">
      <c r="A227" s="338" t="s">
        <v>506</v>
      </c>
      <c r="B227" s="339"/>
      <c r="C227" s="9" t="s">
        <v>507</v>
      </c>
      <c r="D227" s="5" t="s">
        <v>180</v>
      </c>
      <c r="E227" s="186"/>
      <c r="J227" s="186"/>
      <c r="K227" s="325">
        <f>totalCostOfTrip/qtyOnShipment</f>
        <v>2.505958488258317E-3</v>
      </c>
      <c r="M227" s="8"/>
      <c r="N227" s="8"/>
      <c r="O227" s="8"/>
      <c r="P227" s="336">
        <f>totalCostOfTrip/qtyOnShipment</f>
        <v>7.9735042808219182E-4</v>
      </c>
      <c r="Q227" s="325">
        <f>totalCostOfTrip/qtyOnShipment</f>
        <v>2.505958488258317E-3</v>
      </c>
      <c r="R227" s="325">
        <f>totalCostOfTrip/qtyOnShipment</f>
        <v>2.505958488258317E-3</v>
      </c>
      <c r="S227" s="325">
        <f>totalCostOfTrip/qtyOnShipment</f>
        <v>2.505958488258317E-3</v>
      </c>
      <c r="T227" s="325">
        <f>totalCostOfTrip/qtyOnShipment</f>
        <v>2.505958488258317E-3</v>
      </c>
    </row>
    <row r="228" spans="1:20" outlineLevel="2" x14ac:dyDescent="0.25">
      <c r="A228" s="338" t="s">
        <v>510</v>
      </c>
      <c r="B228" s="339"/>
      <c r="C228" s="9" t="s">
        <v>511</v>
      </c>
      <c r="D228" s="5" t="s">
        <v>515</v>
      </c>
      <c r="E228" s="186"/>
      <c r="J228" s="186"/>
      <c r="K228" s="324">
        <f>MIN(_xlfn.SINGLE(nbOfProductsCube),_xlfn.SINGLE(nbOfProductsWeight))</f>
        <v>538461.5384615385</v>
      </c>
      <c r="M228" s="8"/>
      <c r="N228" s="8"/>
      <c r="O228" s="8"/>
      <c r="P228" s="324">
        <f>MIN(_xlfn.SINGLE(nbOfProductsCube),_xlfn.SINGLE(nbOfProductsWeight))</f>
        <v>1692307.6923076923</v>
      </c>
      <c r="Q228" s="324">
        <f>MIN(_xlfn.SINGLE(nbOfProductsCube),_xlfn.SINGLE(nbOfProductsWeight))</f>
        <v>538461.5384615385</v>
      </c>
      <c r="R228" s="324">
        <f>MIN(_xlfn.SINGLE(nbOfProductsCube),_xlfn.SINGLE(nbOfProductsWeight))</f>
        <v>538461.5384615385</v>
      </c>
      <c r="S228" s="324">
        <f>MIN(_xlfn.SINGLE(nbOfProductsCube),_xlfn.SINGLE(nbOfProductsWeight))</f>
        <v>538461.5384615385</v>
      </c>
      <c r="T228" s="324">
        <f>MIN(_xlfn.SINGLE(nbOfProductsCube),_xlfn.SINGLE(nbOfProductsWeight))</f>
        <v>538461.5384615385</v>
      </c>
    </row>
    <row r="229" spans="1:20" outlineLevel="2" x14ac:dyDescent="0.25">
      <c r="A229" s="338" t="s">
        <v>508</v>
      </c>
      <c r="B229" s="339"/>
      <c r="C229" s="9" t="s">
        <v>512</v>
      </c>
      <c r="D229" s="5" t="s">
        <v>514</v>
      </c>
      <c r="E229" s="186"/>
      <c r="J229" s="186"/>
      <c r="K229" s="319">
        <v>100</v>
      </c>
      <c r="M229" s="8"/>
      <c r="N229" s="8"/>
      <c r="O229" s="8"/>
      <c r="P229" s="319">
        <v>100</v>
      </c>
      <c r="Q229" s="319">
        <v>100</v>
      </c>
      <c r="R229" s="319">
        <v>100</v>
      </c>
      <c r="S229" s="319">
        <v>100</v>
      </c>
      <c r="T229" s="319">
        <v>100</v>
      </c>
    </row>
    <row r="230" spans="1:20" outlineLevel="2" x14ac:dyDescent="0.25">
      <c r="A230" s="338" t="s">
        <v>509</v>
      </c>
      <c r="B230" s="339"/>
      <c r="C230" s="9" t="s">
        <v>513</v>
      </c>
      <c r="D230" s="5" t="s">
        <v>198</v>
      </c>
      <c r="E230" s="186"/>
      <c r="J230" s="186"/>
      <c r="K230" s="320">
        <v>0.8</v>
      </c>
      <c r="M230" s="8"/>
      <c r="N230" s="8"/>
      <c r="O230" s="8"/>
      <c r="P230" s="320">
        <v>0.8</v>
      </c>
      <c r="Q230" s="320">
        <v>0.8</v>
      </c>
      <c r="R230" s="320">
        <v>0.8</v>
      </c>
      <c r="S230" s="320">
        <v>0.8</v>
      </c>
      <c r="T230" s="320">
        <v>0.8</v>
      </c>
    </row>
    <row r="231" spans="1:20" outlineLevel="2" x14ac:dyDescent="0.25">
      <c r="A231" s="338" t="s">
        <v>516</v>
      </c>
      <c r="B231" s="339"/>
      <c r="C231" s="9" t="s">
        <v>603</v>
      </c>
      <c r="D231" s="5" t="s">
        <v>515</v>
      </c>
      <c r="E231" s="186"/>
      <c r="J231" s="186"/>
      <c r="K231" s="300">
        <f>maxCube*percentageFill/((pckgHeight/1000)*(pckgLength/1000)*(pckgWidth/1000))*10000</f>
        <v>1219326322.2069805</v>
      </c>
      <c r="M231" s="8"/>
      <c r="N231" s="8"/>
      <c r="O231" s="8"/>
      <c r="P231" s="300">
        <f>maxCube*percentageFill/((pckgHeight/1000)*(pckgLength/1000)*(pckgWidth/1000))*10000</f>
        <v>1219326322.2069805</v>
      </c>
      <c r="Q231" s="300">
        <f>maxCube*percentageFill/((pckgHeight/1000)*(pckgLength/1000)*(pckgWidth/1000))*10000</f>
        <v>1219326322.2069805</v>
      </c>
      <c r="R231" s="300">
        <f>maxCube*percentageFill/((pckgHeight/1000)*(pckgLength/1000)*(pckgWidth/1000))*10000</f>
        <v>1219326322.2069805</v>
      </c>
      <c r="S231" s="300">
        <f>maxCube*percentageFill/((pckgHeight/1000)*(pckgLength/1000)*(pckgWidth/1000))*10000</f>
        <v>1219326322.2069805</v>
      </c>
      <c r="T231" s="300">
        <f>maxCube*percentageFill/((pckgHeight/1000)*(pckgLength/1000)*(pckgWidth/1000))*10000</f>
        <v>1219326322.2069805</v>
      </c>
    </row>
    <row r="232" spans="1:20" outlineLevel="2" x14ac:dyDescent="0.25">
      <c r="A232" s="338" t="s">
        <v>517</v>
      </c>
      <c r="B232" s="339"/>
      <c r="C232" s="9" t="s">
        <v>518</v>
      </c>
      <c r="D232" s="5" t="s">
        <v>260</v>
      </c>
      <c r="E232" s="186"/>
      <c r="J232" s="186"/>
      <c r="K232" s="291">
        <v>20000</v>
      </c>
      <c r="M232" s="318"/>
      <c r="N232" s="8"/>
      <c r="O232" s="8"/>
      <c r="P232" s="291">
        <v>20000</v>
      </c>
      <c r="Q232" s="291">
        <v>20000</v>
      </c>
      <c r="R232" s="291">
        <v>20000</v>
      </c>
      <c r="S232" s="291">
        <v>20000</v>
      </c>
      <c r="T232" s="291">
        <v>20000</v>
      </c>
    </row>
    <row r="233" spans="1:20" outlineLevel="2" x14ac:dyDescent="0.25">
      <c r="A233" s="338" t="s">
        <v>516</v>
      </c>
      <c r="B233" s="339"/>
      <c r="C233" s="9" t="s">
        <v>604</v>
      </c>
      <c r="D233" s="5" t="s">
        <v>515</v>
      </c>
      <c r="E233" s="186"/>
      <c r="J233" s="186"/>
      <c r="K233" s="321">
        <f>maxWeight/(pckgMass/1000)*(prodPerPckg+pckgPerCase)</f>
        <v>538461.5384615385</v>
      </c>
      <c r="M233" s="318"/>
      <c r="N233" s="8"/>
      <c r="O233" s="8"/>
      <c r="P233" s="321">
        <f>maxWeight/(pckgMass/1000)*(prodPerPckg+pckgPerCase)</f>
        <v>1692307.6923076923</v>
      </c>
      <c r="Q233" s="321">
        <f>maxWeight/(pckgMass/1000)*(prodPerPckg+pckgPerCase)</f>
        <v>538461.5384615385</v>
      </c>
      <c r="R233" s="321">
        <f>maxWeight/(pckgMass/1000)*(prodPerPckg+pckgPerCase)</f>
        <v>538461.5384615385</v>
      </c>
      <c r="S233" s="321">
        <f>maxWeight/(pckgMass/1000)*(prodPerPckg+pckgPerCase)</f>
        <v>538461.5384615385</v>
      </c>
      <c r="T233" s="321">
        <f>maxWeight/(pckgMass/1000)*(prodPerPckg+pckgPerCase)</f>
        <v>538461.5384615385</v>
      </c>
    </row>
    <row r="234" spans="1:20" outlineLevel="2" x14ac:dyDescent="0.25">
      <c r="A234" s="338" t="s">
        <v>519</v>
      </c>
      <c r="B234" s="339"/>
      <c r="C234" s="9" t="s">
        <v>520</v>
      </c>
      <c r="D234" s="5" t="s">
        <v>521</v>
      </c>
      <c r="E234" s="186"/>
      <c r="J234" s="186"/>
      <c r="K234" s="322">
        <f>(fixedCostsTransportation+variableCostsTransportation)*(1+gmTransportation)</f>
        <v>1349.3622629083245</v>
      </c>
      <c r="M234" s="8"/>
      <c r="N234" s="8"/>
      <c r="O234" s="8"/>
      <c r="P234" s="322">
        <f>(fixedCostsTransportation+variableCostsTransportation)*(1+gmTransportation)</f>
        <v>1349.3622629083245</v>
      </c>
      <c r="Q234" s="322">
        <f>(fixedCostsTransportation+variableCostsTransportation)*(1+gmTransportation)</f>
        <v>1349.3622629083245</v>
      </c>
      <c r="R234" s="322">
        <f>(fixedCostsTransportation+variableCostsTransportation)*(1+gmTransportation)</f>
        <v>1349.3622629083245</v>
      </c>
      <c r="S234" s="322">
        <f>(fixedCostsTransportation+variableCostsTransportation)*(1+gmTransportation)</f>
        <v>1349.3622629083245</v>
      </c>
      <c r="T234" s="322">
        <f>(fixedCostsTransportation+variableCostsTransportation)*(1+gmTransportation)</f>
        <v>1349.3622629083245</v>
      </c>
    </row>
    <row r="235" spans="1:20" outlineLevel="2" x14ac:dyDescent="0.25">
      <c r="A235" s="338" t="s">
        <v>522</v>
      </c>
      <c r="B235" s="339"/>
      <c r="C235" s="9" t="s">
        <v>523</v>
      </c>
      <c r="D235" s="5" t="s">
        <v>524</v>
      </c>
      <c r="E235" s="186"/>
      <c r="J235" s="186"/>
      <c r="K235" s="299">
        <f>totalCostOfTrip/nbOfMiles</f>
        <v>2.6987245258166492</v>
      </c>
      <c r="M235" s="8"/>
      <c r="N235" s="8"/>
      <c r="O235" s="8"/>
      <c r="P235" s="299">
        <f>totalCostOfTrip/nbOfMiles</f>
        <v>2.6987245258166492</v>
      </c>
      <c r="Q235" s="299">
        <f>totalCostOfTrip/nbOfMiles</f>
        <v>2.6987245258166492</v>
      </c>
      <c r="R235" s="299">
        <f>totalCostOfTrip/nbOfMiles</f>
        <v>2.6987245258166492</v>
      </c>
      <c r="S235" s="299">
        <f>totalCostOfTrip/nbOfMiles</f>
        <v>2.6987245258166492</v>
      </c>
      <c r="T235" s="299">
        <f>totalCostOfTrip/nbOfMiles</f>
        <v>2.6987245258166492</v>
      </c>
    </row>
    <row r="236" spans="1:20" outlineLevel="2" x14ac:dyDescent="0.25">
      <c r="A236" s="338" t="s">
        <v>525</v>
      </c>
      <c r="B236" s="339"/>
      <c r="C236" s="9" t="s">
        <v>526</v>
      </c>
      <c r="D236" s="5" t="s">
        <v>198</v>
      </c>
      <c r="E236" s="186"/>
      <c r="J236" s="186"/>
      <c r="K236" s="323">
        <v>0.25</v>
      </c>
      <c r="M236" s="8"/>
      <c r="N236" s="8"/>
      <c r="O236" s="8"/>
      <c r="P236" s="323">
        <v>0.25</v>
      </c>
      <c r="Q236" s="323">
        <v>0.25</v>
      </c>
      <c r="R236" s="323">
        <v>0.25</v>
      </c>
      <c r="S236" s="323">
        <v>0.25</v>
      </c>
      <c r="T236" s="323">
        <v>0.25</v>
      </c>
    </row>
    <row r="237" spans="1:20" outlineLevel="2" x14ac:dyDescent="0.25">
      <c r="A237" s="338" t="s">
        <v>527</v>
      </c>
      <c r="B237" s="339"/>
      <c r="C237" s="9" t="s">
        <v>528</v>
      </c>
      <c r="D237" s="5" t="s">
        <v>521</v>
      </c>
      <c r="E237" s="186"/>
      <c r="J237" s="186"/>
      <c r="K237" s="317">
        <f>equipTransportation+staffingTransportation+insuranceCostPerDay</f>
        <v>656.25904109589032</v>
      </c>
      <c r="M237" s="8"/>
      <c r="N237" s="8"/>
      <c r="O237" s="8"/>
      <c r="P237" s="317">
        <f>equipTransportation+staffingTransportation+insuranceCostPerDay</f>
        <v>656.25904109589032</v>
      </c>
      <c r="Q237" s="317">
        <f>equipTransportation+staffingTransportation+insuranceCostPerDay</f>
        <v>656.25904109589032</v>
      </c>
      <c r="R237" s="317">
        <f>equipTransportation+staffingTransportation+insuranceCostPerDay</f>
        <v>656.25904109589032</v>
      </c>
      <c r="S237" s="317">
        <f>equipTransportation+staffingTransportation+insuranceCostPerDay</f>
        <v>656.25904109589032</v>
      </c>
      <c r="T237" s="317">
        <f>equipTransportation+staffingTransportation+insuranceCostPerDay</f>
        <v>656.25904109589032</v>
      </c>
    </row>
    <row r="238" spans="1:20" outlineLevel="2" x14ac:dyDescent="0.25">
      <c r="A238" s="219" t="s">
        <v>529</v>
      </c>
      <c r="B238" s="143"/>
      <c r="C238" s="9" t="s">
        <v>600</v>
      </c>
      <c r="D238" s="5" t="s">
        <v>530</v>
      </c>
      <c r="E238" s="186"/>
      <c r="J238" s="186"/>
      <c r="K238" s="307">
        <v>2</v>
      </c>
      <c r="M238" s="8"/>
      <c r="N238" s="8"/>
      <c r="O238" s="8"/>
      <c r="P238" s="307">
        <v>2</v>
      </c>
      <c r="Q238" s="307">
        <v>2</v>
      </c>
      <c r="R238" s="307">
        <v>2</v>
      </c>
      <c r="S238" s="307">
        <v>2</v>
      </c>
      <c r="T238" s="307">
        <v>2</v>
      </c>
    </row>
    <row r="239" spans="1:20" outlineLevel="2" x14ac:dyDescent="0.25">
      <c r="A239" s="338" t="s">
        <v>531</v>
      </c>
      <c r="B239" s="339"/>
      <c r="C239" s="9"/>
      <c r="E239" s="186"/>
      <c r="J239" s="186"/>
      <c r="K239" s="308"/>
      <c r="M239" s="8"/>
      <c r="N239" s="8"/>
      <c r="O239" s="8"/>
      <c r="P239" s="308"/>
      <c r="Q239" s="308"/>
      <c r="R239" s="308"/>
      <c r="S239" s="308"/>
      <c r="T239" s="308"/>
    </row>
    <row r="240" spans="1:20" outlineLevel="2" x14ac:dyDescent="0.25">
      <c r="A240" s="338" t="s">
        <v>532</v>
      </c>
      <c r="B240" s="339"/>
      <c r="C240" s="9" t="s">
        <v>533</v>
      </c>
      <c r="D240" s="5" t="s">
        <v>534</v>
      </c>
      <c r="E240" s="186"/>
      <c r="J240" s="186"/>
      <c r="K240" s="299">
        <f>costOfTruck/depreciationLife/365</f>
        <v>109.58904109589041</v>
      </c>
      <c r="M240" s="8"/>
      <c r="N240" s="8"/>
      <c r="O240" s="8"/>
      <c r="P240" s="299">
        <f>costOfTruck/depreciationLife/365</f>
        <v>109.58904109589041</v>
      </c>
      <c r="Q240" s="299">
        <f>costOfTruck/depreciationLife/365</f>
        <v>109.58904109589041</v>
      </c>
      <c r="R240" s="299">
        <f>costOfTruck/depreciationLife/365</f>
        <v>109.58904109589041</v>
      </c>
      <c r="S240" s="299">
        <f>costOfTruck/depreciationLife/365</f>
        <v>109.58904109589041</v>
      </c>
      <c r="T240" s="299">
        <f>costOfTruck/depreciationLife/365</f>
        <v>109.58904109589041</v>
      </c>
    </row>
    <row r="241" spans="1:20" outlineLevel="2" x14ac:dyDescent="0.25">
      <c r="A241" s="338" t="s">
        <v>535</v>
      </c>
      <c r="B241" s="339"/>
      <c r="C241" s="9" t="s">
        <v>537</v>
      </c>
      <c r="D241" s="5" t="s">
        <v>354</v>
      </c>
      <c r="E241" s="186"/>
      <c r="J241" s="186"/>
      <c r="K241" s="313">
        <v>200000</v>
      </c>
      <c r="M241" s="8"/>
      <c r="N241" s="8"/>
      <c r="O241" s="8"/>
      <c r="P241" s="313">
        <v>200000</v>
      </c>
      <c r="Q241" s="313">
        <v>200000</v>
      </c>
      <c r="R241" s="313">
        <v>200000</v>
      </c>
      <c r="S241" s="313">
        <v>200000</v>
      </c>
      <c r="T241" s="313">
        <v>200000</v>
      </c>
    </row>
    <row r="242" spans="1:20" outlineLevel="2" x14ac:dyDescent="0.25">
      <c r="A242" s="338" t="s">
        <v>536</v>
      </c>
      <c r="B242" s="339"/>
      <c r="C242" s="9" t="s">
        <v>538</v>
      </c>
      <c r="D242" s="5" t="s">
        <v>539</v>
      </c>
      <c r="E242" s="186"/>
      <c r="J242" s="186"/>
      <c r="K242" s="309">
        <v>5</v>
      </c>
      <c r="M242" s="8"/>
      <c r="N242" s="8"/>
      <c r="O242" s="8"/>
      <c r="P242" s="309">
        <v>5</v>
      </c>
      <c r="Q242" s="309">
        <v>5</v>
      </c>
      <c r="R242" s="309">
        <v>5</v>
      </c>
      <c r="S242" s="309">
        <v>5</v>
      </c>
      <c r="T242" s="309">
        <v>5</v>
      </c>
    </row>
    <row r="243" spans="1:20" outlineLevel="2" x14ac:dyDescent="0.25">
      <c r="A243" s="338" t="s">
        <v>540</v>
      </c>
      <c r="B243" s="339"/>
      <c r="C243" s="9" t="s">
        <v>599</v>
      </c>
      <c r="D243" s="5" t="s">
        <v>354</v>
      </c>
      <c r="E243" s="186"/>
      <c r="J243" s="186"/>
      <c r="K243" s="299">
        <f>hourlyRate*hoursPerDay</f>
        <v>480</v>
      </c>
      <c r="M243" s="8"/>
      <c r="N243" s="8"/>
      <c r="O243" s="8"/>
      <c r="P243" s="299">
        <f>hourlyRate*hoursPerDay</f>
        <v>480</v>
      </c>
      <c r="Q243" s="299">
        <f>hourlyRate*hoursPerDay</f>
        <v>480</v>
      </c>
      <c r="R243" s="299">
        <f>hourlyRate*hoursPerDay</f>
        <v>480</v>
      </c>
      <c r="S243" s="299">
        <f>hourlyRate*hoursPerDay</f>
        <v>480</v>
      </c>
      <c r="T243" s="299">
        <f>hourlyRate*hoursPerDay</f>
        <v>480</v>
      </c>
    </row>
    <row r="244" spans="1:20" outlineLevel="2" x14ac:dyDescent="0.25">
      <c r="A244" s="338" t="s">
        <v>541</v>
      </c>
      <c r="B244" s="339"/>
      <c r="C244" s="9" t="s">
        <v>594</v>
      </c>
      <c r="D244" s="5" t="s">
        <v>595</v>
      </c>
      <c r="E244" s="186"/>
      <c r="J244" s="186"/>
      <c r="K244" s="310">
        <v>12</v>
      </c>
      <c r="M244" s="8"/>
      <c r="N244" s="8"/>
      <c r="O244" s="8"/>
      <c r="P244" s="310">
        <v>12</v>
      </c>
      <c r="Q244" s="310">
        <v>12</v>
      </c>
      <c r="R244" s="310">
        <v>12</v>
      </c>
      <c r="S244" s="310">
        <v>12</v>
      </c>
      <c r="T244" s="310">
        <v>12</v>
      </c>
    </row>
    <row r="245" spans="1:20" outlineLevel="2" x14ac:dyDescent="0.25">
      <c r="A245" s="338" t="s">
        <v>542</v>
      </c>
      <c r="B245" s="339"/>
      <c r="C245" s="9" t="s">
        <v>596</v>
      </c>
      <c r="D245" s="5" t="s">
        <v>597</v>
      </c>
      <c r="E245" s="186"/>
      <c r="J245" s="186"/>
      <c r="K245" s="311">
        <v>40</v>
      </c>
      <c r="M245" s="8"/>
      <c r="N245" s="8"/>
      <c r="O245" s="8"/>
      <c r="P245" s="311">
        <v>40</v>
      </c>
      <c r="Q245" s="311">
        <v>40</v>
      </c>
      <c r="R245" s="311">
        <v>40</v>
      </c>
      <c r="S245" s="311">
        <v>40</v>
      </c>
      <c r="T245" s="311">
        <v>40</v>
      </c>
    </row>
    <row r="246" spans="1:20" outlineLevel="2" x14ac:dyDescent="0.25">
      <c r="A246" s="338" t="s">
        <v>593</v>
      </c>
      <c r="B246" s="339"/>
      <c r="C246" s="9" t="s">
        <v>598</v>
      </c>
      <c r="D246" s="5" t="s">
        <v>269</v>
      </c>
      <c r="E246" s="186"/>
      <c r="J246" s="186"/>
      <c r="K246" s="312">
        <v>66.67</v>
      </c>
      <c r="M246" s="8"/>
      <c r="N246" s="8"/>
      <c r="O246" s="8"/>
      <c r="P246" s="312">
        <v>66.67</v>
      </c>
      <c r="Q246" s="312">
        <v>66.67</v>
      </c>
      <c r="R246" s="312">
        <v>66.67</v>
      </c>
      <c r="S246" s="312">
        <v>66.67</v>
      </c>
      <c r="T246" s="312">
        <v>66.67</v>
      </c>
    </row>
    <row r="247" spans="1:20" outlineLevel="2" x14ac:dyDescent="0.25">
      <c r="A247" s="338" t="s">
        <v>567</v>
      </c>
      <c r="B247" s="339"/>
      <c r="C247" s="9" t="s">
        <v>592</v>
      </c>
      <c r="D247" s="5" t="s">
        <v>521</v>
      </c>
      <c r="E247" s="186"/>
      <c r="J247" s="186"/>
      <c r="K247" s="317">
        <f>fuel+tires+otherMaintenancePerMile*nbOfMiles</f>
        <v>423.23076923076923</v>
      </c>
      <c r="M247" s="8"/>
      <c r="N247" s="8"/>
      <c r="O247" s="8"/>
      <c r="P247" s="317">
        <f>fuel+tires+otherMaintenancePerMile*nbOfMiles</f>
        <v>423.23076923076923</v>
      </c>
      <c r="Q247" s="317">
        <f>fuel+tires+otherMaintenancePerMile*nbOfMiles</f>
        <v>423.23076923076923</v>
      </c>
      <c r="R247" s="317">
        <f>fuel+tires+otherMaintenancePerMile*nbOfMiles</f>
        <v>423.23076923076923</v>
      </c>
      <c r="S247" s="317">
        <f>fuel+tires+otherMaintenancePerMile*nbOfMiles</f>
        <v>423.23076923076923</v>
      </c>
      <c r="T247" s="317">
        <f>fuel+tires+otherMaintenancePerMile*nbOfMiles</f>
        <v>423.23076923076923</v>
      </c>
    </row>
    <row r="248" spans="1:20" outlineLevel="2" x14ac:dyDescent="0.25">
      <c r="A248" s="338" t="s">
        <v>568</v>
      </c>
      <c r="B248" s="339"/>
      <c r="C248" s="9" t="s">
        <v>591</v>
      </c>
      <c r="D248" s="5" t="s">
        <v>521</v>
      </c>
      <c r="E248" s="186"/>
      <c r="J248" s="186"/>
      <c r="K248" s="306">
        <f>nbOfMiles*pricePerGallon/milesPerGallon</f>
        <v>269.23076923076923</v>
      </c>
      <c r="M248" s="8"/>
      <c r="N248" s="8"/>
      <c r="O248" s="8"/>
      <c r="P248" s="306">
        <f>nbOfMiles*pricePerGallon/milesPerGallon</f>
        <v>269.23076923076923</v>
      </c>
      <c r="Q248" s="306">
        <f>nbOfMiles*pricePerGallon/milesPerGallon</f>
        <v>269.23076923076923</v>
      </c>
      <c r="R248" s="306">
        <f>nbOfMiles*pricePerGallon/milesPerGallon</f>
        <v>269.23076923076923</v>
      </c>
      <c r="S248" s="306">
        <f>nbOfMiles*pricePerGallon/milesPerGallon</f>
        <v>269.23076923076923</v>
      </c>
      <c r="T248" s="306">
        <f>nbOfMiles*pricePerGallon/milesPerGallon</f>
        <v>269.23076923076923</v>
      </c>
    </row>
    <row r="249" spans="1:20" outlineLevel="2" x14ac:dyDescent="0.25">
      <c r="A249" s="338" t="s">
        <v>569</v>
      </c>
      <c r="B249" s="339"/>
      <c r="C249" s="9" t="s">
        <v>584</v>
      </c>
      <c r="D249" s="5" t="s">
        <v>589</v>
      </c>
      <c r="E249" s="186"/>
      <c r="J249" s="186"/>
      <c r="K249" s="291">
        <v>500</v>
      </c>
      <c r="M249" s="8"/>
      <c r="N249" s="8"/>
      <c r="O249" s="8"/>
      <c r="P249" s="291">
        <v>500</v>
      </c>
      <c r="Q249" s="291">
        <v>500</v>
      </c>
      <c r="R249" s="291">
        <v>500</v>
      </c>
      <c r="S249" s="291">
        <v>500</v>
      </c>
      <c r="T249" s="291">
        <v>500</v>
      </c>
    </row>
    <row r="250" spans="1:20" outlineLevel="2" x14ac:dyDescent="0.25">
      <c r="A250" s="338" t="s">
        <v>571</v>
      </c>
      <c r="B250" s="339"/>
      <c r="C250" s="9" t="s">
        <v>585</v>
      </c>
      <c r="D250" s="5" t="s">
        <v>588</v>
      </c>
      <c r="E250" s="186"/>
      <c r="J250" s="186"/>
      <c r="K250" s="291">
        <v>6.5</v>
      </c>
      <c r="M250" s="8"/>
      <c r="N250" s="8"/>
      <c r="O250" s="8"/>
      <c r="P250" s="291">
        <v>6.5</v>
      </c>
      <c r="Q250" s="291">
        <v>6.5</v>
      </c>
      <c r="R250" s="291">
        <v>6.5</v>
      </c>
      <c r="S250" s="291">
        <v>6.5</v>
      </c>
      <c r="T250" s="291">
        <v>6.5</v>
      </c>
    </row>
    <row r="251" spans="1:20" outlineLevel="2" x14ac:dyDescent="0.25">
      <c r="A251" s="338" t="s">
        <v>570</v>
      </c>
      <c r="B251" s="339"/>
      <c r="C251" s="9" t="s">
        <v>586</v>
      </c>
      <c r="D251" s="5" t="s">
        <v>587</v>
      </c>
      <c r="E251" s="186"/>
      <c r="J251" s="186"/>
      <c r="K251" s="313">
        <v>3.5</v>
      </c>
      <c r="M251" s="8"/>
      <c r="N251" s="8"/>
      <c r="O251" s="8"/>
      <c r="P251" s="313">
        <v>3.5</v>
      </c>
      <c r="Q251" s="313">
        <v>3.5</v>
      </c>
      <c r="R251" s="313">
        <v>3.5</v>
      </c>
      <c r="S251" s="313">
        <v>3.5</v>
      </c>
      <c r="T251" s="313">
        <v>3.5</v>
      </c>
    </row>
    <row r="252" spans="1:20" outlineLevel="2" x14ac:dyDescent="0.25">
      <c r="A252" s="338" t="s">
        <v>572</v>
      </c>
      <c r="B252" s="339"/>
      <c r="C252" s="9" t="s">
        <v>590</v>
      </c>
      <c r="D252" s="5" t="s">
        <v>521</v>
      </c>
      <c r="E252" s="186"/>
      <c r="J252" s="186"/>
      <c r="K252" s="299">
        <f>costPerTire*numberOfTires*nbOfMiles/mileagePerTire</f>
        <v>54</v>
      </c>
      <c r="M252" s="8"/>
      <c r="N252" s="8"/>
      <c r="O252" s="8"/>
      <c r="P252" s="299">
        <f>costPerTire*numberOfTires*nbOfMiles/mileagePerTire</f>
        <v>54</v>
      </c>
      <c r="Q252" s="299">
        <f>costPerTire*numberOfTires*nbOfMiles/mileagePerTire</f>
        <v>54</v>
      </c>
      <c r="R252" s="299">
        <f>costPerTire*numberOfTires*nbOfMiles/mileagePerTire</f>
        <v>54</v>
      </c>
      <c r="S252" s="299">
        <f>costPerTire*numberOfTires*nbOfMiles/mileagePerTire</f>
        <v>54</v>
      </c>
      <c r="T252" s="299">
        <f>costPerTire*numberOfTires*nbOfMiles/mileagePerTire</f>
        <v>54</v>
      </c>
    </row>
    <row r="253" spans="1:20" outlineLevel="2" x14ac:dyDescent="0.25">
      <c r="A253" s="338" t="s">
        <v>573</v>
      </c>
      <c r="B253" s="339"/>
      <c r="C253" s="9" t="s">
        <v>582</v>
      </c>
      <c r="D253" s="5" t="s">
        <v>583</v>
      </c>
      <c r="E253" s="186"/>
      <c r="J253" s="186"/>
      <c r="K253" s="314">
        <v>300</v>
      </c>
      <c r="M253" s="8"/>
      <c r="N253" s="8"/>
      <c r="O253" s="8"/>
      <c r="P253" s="314">
        <v>300</v>
      </c>
      <c r="Q253" s="314">
        <v>300</v>
      </c>
      <c r="R253" s="314">
        <v>300</v>
      </c>
      <c r="S253" s="314">
        <v>300</v>
      </c>
      <c r="T253" s="314">
        <v>300</v>
      </c>
    </row>
    <row r="254" spans="1:20" outlineLevel="2" x14ac:dyDescent="0.25">
      <c r="A254" s="338" t="s">
        <v>574</v>
      </c>
      <c r="B254" s="339"/>
      <c r="C254" s="9" t="s">
        <v>580</v>
      </c>
      <c r="D254" s="5" t="s">
        <v>581</v>
      </c>
      <c r="E254" s="186"/>
      <c r="J254" s="186"/>
      <c r="K254" s="303">
        <v>18</v>
      </c>
      <c r="M254" s="8"/>
      <c r="N254" s="8"/>
      <c r="O254" s="8"/>
      <c r="P254" s="303">
        <v>18</v>
      </c>
      <c r="Q254" s="303">
        <v>18</v>
      </c>
      <c r="R254" s="303">
        <v>18</v>
      </c>
      <c r="S254" s="303">
        <v>18</v>
      </c>
      <c r="T254" s="303">
        <v>18</v>
      </c>
    </row>
    <row r="255" spans="1:20" outlineLevel="2" x14ac:dyDescent="0.25">
      <c r="A255" s="338" t="s">
        <v>575</v>
      </c>
      <c r="B255" s="339"/>
      <c r="C255" s="9" t="s">
        <v>578</v>
      </c>
      <c r="D255" s="5" t="s">
        <v>579</v>
      </c>
      <c r="E255" s="186"/>
      <c r="J255" s="186"/>
      <c r="K255" s="315">
        <v>50000</v>
      </c>
      <c r="M255" s="8"/>
      <c r="N255" s="8"/>
      <c r="O255" s="8"/>
      <c r="P255" s="315">
        <v>50000</v>
      </c>
      <c r="Q255" s="315">
        <v>50000</v>
      </c>
      <c r="R255" s="315">
        <v>50000</v>
      </c>
      <c r="S255" s="315">
        <v>50000</v>
      </c>
      <c r="T255" s="315">
        <v>50000</v>
      </c>
    </row>
    <row r="256" spans="1:20" outlineLevel="2" x14ac:dyDescent="0.25">
      <c r="A256" s="338" t="s">
        <v>576</v>
      </c>
      <c r="B256" s="339"/>
      <c r="C256" s="9" t="s">
        <v>577</v>
      </c>
      <c r="D256" s="5" t="s">
        <v>524</v>
      </c>
      <c r="E256" s="186"/>
      <c r="J256" s="186"/>
      <c r="K256" s="316">
        <v>0.2</v>
      </c>
      <c r="M256" s="8"/>
      <c r="N256" s="8"/>
      <c r="O256" s="8"/>
      <c r="P256" s="316">
        <v>0.2</v>
      </c>
      <c r="Q256" s="316">
        <v>0.2</v>
      </c>
      <c r="R256" s="316">
        <v>0.2</v>
      </c>
      <c r="S256" s="316">
        <v>0.2</v>
      </c>
      <c r="T256" s="316">
        <v>0.2</v>
      </c>
    </row>
    <row r="257" spans="1:20" outlineLevel="2" x14ac:dyDescent="0.25">
      <c r="A257" s="338" t="s">
        <v>616</v>
      </c>
      <c r="B257" s="339"/>
      <c r="C257" s="9" t="s">
        <v>623</v>
      </c>
      <c r="D257" s="5" t="s">
        <v>180</v>
      </c>
      <c r="E257" s="186"/>
      <c r="J257" s="186"/>
      <c r="K257" s="313">
        <v>0</v>
      </c>
      <c r="M257" s="8"/>
      <c r="N257" s="8"/>
      <c r="O257" s="8"/>
      <c r="P257" s="313">
        <v>0</v>
      </c>
      <c r="Q257" s="313">
        <v>0</v>
      </c>
      <c r="R257" s="313">
        <v>0</v>
      </c>
      <c r="S257" s="313">
        <v>0</v>
      </c>
      <c r="T257" s="313">
        <v>0</v>
      </c>
    </row>
    <row r="258" spans="1:20" outlineLevel="2" x14ac:dyDescent="0.25">
      <c r="A258" s="338" t="s">
        <v>617</v>
      </c>
      <c r="B258" s="339"/>
      <c r="C258" s="9" t="s">
        <v>622</v>
      </c>
      <c r="D258" s="5" t="s">
        <v>180</v>
      </c>
      <c r="E258" s="186"/>
      <c r="J258" s="186"/>
      <c r="K258" s="313">
        <v>0</v>
      </c>
      <c r="M258" s="8"/>
      <c r="N258" s="8"/>
      <c r="O258" s="8"/>
      <c r="P258" s="313">
        <v>0</v>
      </c>
      <c r="Q258" s="313">
        <v>0</v>
      </c>
      <c r="R258" s="313">
        <v>0</v>
      </c>
      <c r="S258" s="313">
        <v>0</v>
      </c>
      <c r="T258" s="313">
        <v>0</v>
      </c>
    </row>
    <row r="259" spans="1:20" outlineLevel="2" x14ac:dyDescent="0.25">
      <c r="A259" s="338" t="s">
        <v>618</v>
      </c>
      <c r="B259" s="339"/>
      <c r="C259" s="9" t="s">
        <v>621</v>
      </c>
      <c r="D259" s="5" t="s">
        <v>180</v>
      </c>
      <c r="E259" s="186"/>
      <c r="J259" s="186"/>
      <c r="K259" s="313">
        <v>0</v>
      </c>
      <c r="M259" s="8"/>
      <c r="N259" s="8"/>
      <c r="O259" s="8"/>
      <c r="P259" s="313">
        <v>0</v>
      </c>
      <c r="Q259" s="313">
        <v>0</v>
      </c>
      <c r="R259" s="313">
        <v>0</v>
      </c>
      <c r="S259" s="313">
        <v>0</v>
      </c>
      <c r="T259" s="313">
        <v>0</v>
      </c>
    </row>
    <row r="260" spans="1:20" outlineLevel="2" x14ac:dyDescent="0.25">
      <c r="A260" s="338" t="s">
        <v>619</v>
      </c>
      <c r="B260" s="339"/>
      <c r="C260" s="9" t="s">
        <v>620</v>
      </c>
      <c r="D260" s="5" t="s">
        <v>180</v>
      </c>
      <c r="E260" s="186"/>
      <c r="J260" s="186"/>
      <c r="K260" s="313">
        <v>0</v>
      </c>
      <c r="M260" s="8"/>
      <c r="N260" s="8"/>
      <c r="O260" s="8"/>
      <c r="P260" s="313">
        <v>0</v>
      </c>
      <c r="Q260" s="313">
        <v>0</v>
      </c>
      <c r="R260" s="313">
        <v>0</v>
      </c>
      <c r="S260" s="313">
        <v>0</v>
      </c>
      <c r="T260" s="313">
        <v>0</v>
      </c>
    </row>
    <row r="261" spans="1:20" outlineLevel="1" x14ac:dyDescent="0.25">
      <c r="A261" s="127"/>
      <c r="B261" s="127"/>
      <c r="C261" s="9"/>
      <c r="E261" s="186"/>
      <c r="J261" s="186"/>
      <c r="K261" s="326"/>
      <c r="M261" s="8"/>
      <c r="N261" s="8"/>
      <c r="O261" s="8"/>
      <c r="P261" s="326"/>
      <c r="Q261" s="326"/>
      <c r="R261" s="326"/>
      <c r="S261" s="326"/>
      <c r="T261" s="326"/>
    </row>
    <row r="262" spans="1:20" outlineLevel="1" x14ac:dyDescent="0.25">
      <c r="A262" s="220" t="s">
        <v>606</v>
      </c>
      <c r="B262" s="221"/>
      <c r="C262" s="222" t="s">
        <v>615</v>
      </c>
      <c r="D262" s="223" t="s">
        <v>180</v>
      </c>
      <c r="E262" s="224"/>
      <c r="F262" s="225"/>
      <c r="G262" s="225"/>
      <c r="H262" s="225"/>
      <c r="I262" s="225"/>
      <c r="J262" s="225"/>
      <c r="K262" s="333">
        <f>clearingFees+dutiesPerCustoms</f>
        <v>2.6246760496578536E-3</v>
      </c>
      <c r="M262" s="8"/>
      <c r="N262" s="8"/>
      <c r="O262" s="8"/>
      <c r="P262" s="333">
        <f>clearingFees+dutiesPerCustoms</f>
        <v>2.4337272820948099E-3</v>
      </c>
      <c r="Q262" s="333">
        <f>clearingFees+dutiesPerCustoms</f>
        <v>2.6248837946141802E-3</v>
      </c>
      <c r="R262" s="333">
        <f>clearingFees+dutiesPerCustoms</f>
        <v>2279968949414.2466</v>
      </c>
      <c r="S262" s="333">
        <f>clearingFees+dutiesPerCustoms</f>
        <v>2.6246760496578536E-3</v>
      </c>
      <c r="T262" s="333">
        <f>clearingFees+dutiesPerCustoms</f>
        <v>2.6246760496578536E-3</v>
      </c>
    </row>
    <row r="263" spans="1:20" outlineLevel="2" x14ac:dyDescent="0.25">
      <c r="A263" s="363" t="s">
        <v>607</v>
      </c>
      <c r="B263" s="364"/>
      <c r="C263" s="330" t="s">
        <v>608</v>
      </c>
      <c r="D263" s="331" t="s">
        <v>180</v>
      </c>
      <c r="E263" s="328"/>
      <c r="F263" s="327"/>
      <c r="G263" s="327"/>
      <c r="H263" s="327"/>
      <c r="I263" s="327"/>
      <c r="J263" s="328"/>
      <c r="K263" s="329">
        <v>0</v>
      </c>
      <c r="M263" s="8"/>
      <c r="N263" s="8"/>
      <c r="O263" s="8"/>
      <c r="P263" s="329">
        <v>0</v>
      </c>
      <c r="Q263" s="329">
        <v>0</v>
      </c>
      <c r="R263" s="329">
        <v>0</v>
      </c>
      <c r="S263" s="329">
        <v>0</v>
      </c>
      <c r="T263" s="329">
        <v>0</v>
      </c>
    </row>
    <row r="264" spans="1:20" outlineLevel="2" x14ac:dyDescent="0.25">
      <c r="A264" s="363" t="s">
        <v>609</v>
      </c>
      <c r="B264" s="364"/>
      <c r="C264" s="330" t="s">
        <v>611</v>
      </c>
      <c r="D264" s="331" t="s">
        <v>180</v>
      </c>
      <c r="E264" s="328"/>
      <c r="F264" s="327"/>
      <c r="G264" s="327"/>
      <c r="H264" s="327"/>
      <c r="I264" s="327"/>
      <c r="J264" s="328"/>
      <c r="K264" s="329">
        <f>percentDuty*costDutyIsOn</f>
        <v>2.6246760496578536E-3</v>
      </c>
      <c r="M264" s="8"/>
      <c r="N264" s="8"/>
      <c r="O264" s="8"/>
      <c r="P264" s="329">
        <f>percentDuty*costDutyIsOn</f>
        <v>2.4337272820948099E-3</v>
      </c>
      <c r="Q264" s="329">
        <f>percentDuty*costDutyIsOn</f>
        <v>2.6248837946141802E-3</v>
      </c>
      <c r="R264" s="329">
        <f>percentDuty*costDutyIsOn</f>
        <v>2279968949414.2466</v>
      </c>
      <c r="S264" s="329">
        <f>percentDuty*costDutyIsOn</f>
        <v>2.6246760496578536E-3</v>
      </c>
      <c r="T264" s="329">
        <f>percentDuty*costDutyIsOn</f>
        <v>2.6246760496578536E-3</v>
      </c>
    </row>
    <row r="265" spans="1:20" outlineLevel="2" x14ac:dyDescent="0.25">
      <c r="A265" s="338" t="s">
        <v>612</v>
      </c>
      <c r="B265" s="339"/>
      <c r="C265" s="9" t="s">
        <v>610</v>
      </c>
      <c r="D265" s="5" t="s">
        <v>198</v>
      </c>
      <c r="E265" s="186"/>
      <c r="J265" s="186"/>
      <c r="K265" s="289">
        <v>0.1</v>
      </c>
      <c r="M265" s="8"/>
      <c r="N265" s="8"/>
      <c r="O265" s="8"/>
      <c r="P265" s="289">
        <v>0.1</v>
      </c>
      <c r="Q265" s="289">
        <v>0.1</v>
      </c>
      <c r="R265" s="289">
        <v>0.1</v>
      </c>
      <c r="S265" s="289">
        <v>0.1</v>
      </c>
      <c r="T265" s="289">
        <v>0.1</v>
      </c>
    </row>
    <row r="266" spans="1:20" outlineLevel="2" x14ac:dyDescent="0.25">
      <c r="A266" s="338" t="s">
        <v>613</v>
      </c>
      <c r="B266" s="339"/>
      <c r="C266" s="9" t="s">
        <v>614</v>
      </c>
      <c r="D266" s="5" t="s">
        <v>180</v>
      </c>
      <c r="E266" s="186"/>
      <c r="J266" s="186"/>
      <c r="K266" s="332">
        <f>materials+manufacturing</f>
        <v>2.6246760496578536E-2</v>
      </c>
      <c r="L266" s="5" t="s">
        <v>624</v>
      </c>
      <c r="M266" s="8"/>
      <c r="N266" s="8"/>
      <c r="O266" s="8"/>
      <c r="P266" s="332">
        <f>materials+manufacturing</f>
        <v>2.4337272820948098E-2</v>
      </c>
      <c r="Q266" s="332">
        <f>materials+manufacturing</f>
        <v>2.6248837946141801E-2</v>
      </c>
      <c r="R266" s="332">
        <f>materials+manufacturing</f>
        <v>22799689494142.465</v>
      </c>
      <c r="S266" s="332">
        <f>materials+manufacturing</f>
        <v>2.6246760496578536E-2</v>
      </c>
      <c r="T266" s="332">
        <f>materials+manufacturing</f>
        <v>2.6246760496578536E-2</v>
      </c>
    </row>
    <row r="267" spans="1:20" outlineLevel="1" x14ac:dyDescent="0.25">
      <c r="A267" s="8"/>
      <c r="C267" s="9"/>
      <c r="E267" s="186"/>
      <c r="J267" s="186"/>
      <c r="K267" s="8"/>
      <c r="M267" s="8"/>
      <c r="N267" s="8"/>
      <c r="O267" s="8"/>
      <c r="P267" s="8"/>
      <c r="Q267" s="8"/>
      <c r="R267" s="8"/>
      <c r="S267" s="8"/>
      <c r="T267" s="8"/>
    </row>
    <row r="268" spans="1:20" ht="18.75" outlineLevel="1" x14ac:dyDescent="0.25">
      <c r="A268" s="345" t="s">
        <v>202</v>
      </c>
      <c r="B268" s="346"/>
      <c r="C268" s="134" t="s">
        <v>324</v>
      </c>
      <c r="D268" s="113" t="s">
        <v>180</v>
      </c>
      <c r="E268" s="188"/>
      <c r="F268" s="113"/>
      <c r="G268" s="113"/>
      <c r="H268" s="113"/>
      <c r="I268" s="113"/>
      <c r="J268" s="188"/>
      <c r="K268" s="205">
        <f>cost_ship_matl1/amount_ship_matl1</f>
        <v>8.5761287311218136E-6</v>
      </c>
      <c r="M268" s="205">
        <f t="shared" ref="M268:R268" si="70">cost_ship_matl1/amount_ship_matl1</f>
        <v>-2.877662707188001</v>
      </c>
      <c r="N268" s="205">
        <f t="shared" si="70"/>
        <v>8.5761287311218136E-6</v>
      </c>
      <c r="O268" s="205">
        <f t="shared" si="70"/>
        <v>8.5761287311218136E-6</v>
      </c>
      <c r="P268" s="205">
        <f t="shared" si="70"/>
        <v>8.5761287311218136E-6</v>
      </c>
      <c r="Q268" s="205">
        <f t="shared" si="70"/>
        <v>8.5761287311218136E-6</v>
      </c>
      <c r="R268" s="205">
        <f t="shared" si="70"/>
        <v>8.5761287311218136E-6</v>
      </c>
      <c r="S268" s="205">
        <f>cost_ship_matl1/amount_ship_matl1</f>
        <v>8.5761287311218136E-6</v>
      </c>
      <c r="T268" s="205">
        <f>cost_ship_matl1/amount_ship_matl1</f>
        <v>8.5761287311218136E-6</v>
      </c>
    </row>
    <row r="269" spans="1:20" outlineLevel="2" x14ac:dyDescent="0.25">
      <c r="A269" s="342" t="s">
        <v>248</v>
      </c>
      <c r="B269" s="343"/>
      <c r="C269" s="192" t="s">
        <v>257</v>
      </c>
      <c r="D269" s="113" t="s">
        <v>258</v>
      </c>
      <c r="E269" s="68"/>
      <c r="F269" s="195"/>
      <c r="G269" s="195"/>
      <c r="H269" s="195"/>
      <c r="I269" s="195"/>
      <c r="J269" s="123"/>
      <c r="K269" s="198">
        <f>kg_ship_matl1*1000/total_wt_matl1_w_scrap</f>
        <v>93282181.86568135</v>
      </c>
      <c r="M269" s="198">
        <f t="shared" ref="M269:R269" si="71">kg_ship_matl1*1000/total_wt_matl1_w_scrap</f>
        <v>-278.00339421354397</v>
      </c>
      <c r="N269" s="198">
        <f t="shared" si="71"/>
        <v>93282181.86568135</v>
      </c>
      <c r="O269" s="198">
        <f t="shared" si="71"/>
        <v>93282181.86568135</v>
      </c>
      <c r="P269" s="198">
        <f t="shared" si="71"/>
        <v>93282181.86568135</v>
      </c>
      <c r="Q269" s="198">
        <f t="shared" si="71"/>
        <v>93282181.86568135</v>
      </c>
      <c r="R269" s="198">
        <f t="shared" si="71"/>
        <v>93282181.86568135</v>
      </c>
      <c r="S269" s="198">
        <f>kg_ship_matl1*1000/total_wt_matl1_w_scrap</f>
        <v>93282181.86568135</v>
      </c>
      <c r="T269" s="198">
        <f>kg_ship_matl1*1000/total_wt_matl1_w_scrap</f>
        <v>93282181.86568135</v>
      </c>
    </row>
    <row r="270" spans="1:20" outlineLevel="2" x14ac:dyDescent="0.25">
      <c r="A270" s="340" t="s">
        <v>250</v>
      </c>
      <c r="B270" s="341"/>
      <c r="C270" s="145" t="s">
        <v>259</v>
      </c>
      <c r="D270" s="5" t="s">
        <v>260</v>
      </c>
      <c r="E270" s="196"/>
      <c r="F270" s="47"/>
      <c r="G270" s="47"/>
      <c r="H270" s="47"/>
      <c r="I270" s="47"/>
      <c r="J270" s="197"/>
      <c r="K270" s="201">
        <v>10000</v>
      </c>
      <c r="M270" s="201">
        <v>10000</v>
      </c>
      <c r="N270" s="201">
        <v>10000</v>
      </c>
      <c r="O270" s="201">
        <v>10000</v>
      </c>
      <c r="P270" s="201">
        <v>10000</v>
      </c>
      <c r="Q270" s="201">
        <v>10000</v>
      </c>
      <c r="R270" s="201">
        <v>10000</v>
      </c>
      <c r="S270" s="201">
        <v>10000</v>
      </c>
      <c r="T270" s="201">
        <v>10000</v>
      </c>
    </row>
    <row r="271" spans="1:20" outlineLevel="2" x14ac:dyDescent="0.25">
      <c r="A271" s="340" t="s">
        <v>251</v>
      </c>
      <c r="B271" s="341"/>
      <c r="C271" s="145" t="s">
        <v>261</v>
      </c>
      <c r="E271" s="193"/>
      <c r="F271" s="10"/>
      <c r="G271" s="10"/>
      <c r="H271" s="10"/>
      <c r="I271" s="10"/>
      <c r="J271" s="194"/>
      <c r="K271" s="199">
        <f>percentTotalWeight1*totalWeight*(1+p_add_process)/(1-p_scrap_matl1)</f>
        <v>0.10720160913902267</v>
      </c>
      <c r="M271" s="199">
        <f t="shared" ref="M271:R271" si="72">percentTotalWeight1*totalWeight*(1+p_add_process)/(1-p_scrap_matl1)</f>
        <v>-35970.78383985001</v>
      </c>
      <c r="N271" s="199">
        <f t="shared" si="72"/>
        <v>0.10720160913902267</v>
      </c>
      <c r="O271" s="199">
        <f t="shared" si="72"/>
        <v>0.10720160913902267</v>
      </c>
      <c r="P271" s="199">
        <f t="shared" si="72"/>
        <v>0.10720160913902267</v>
      </c>
      <c r="Q271" s="199">
        <f t="shared" si="72"/>
        <v>0.10720160913902267</v>
      </c>
      <c r="R271" s="199">
        <f t="shared" si="72"/>
        <v>0.10720160913902267</v>
      </c>
      <c r="S271" s="199">
        <f>percentTotalWeight1*totalWeight*(1+p_add_process)/(1-p_scrap_matl1)</f>
        <v>0.10720160913902267</v>
      </c>
      <c r="T271" s="199">
        <f>percentTotalWeight1*totalWeight*(1+p_add_process)/(1-p_scrap_matl1)</f>
        <v>0.10720160913902267</v>
      </c>
    </row>
    <row r="272" spans="1:20" outlineLevel="2" x14ac:dyDescent="0.25">
      <c r="A272" s="342" t="s">
        <v>249</v>
      </c>
      <c r="B272" s="343"/>
      <c r="C272" s="192" t="s">
        <v>262</v>
      </c>
      <c r="D272" s="113" t="s">
        <v>263</v>
      </c>
      <c r="E272" s="68"/>
      <c r="F272" s="195"/>
      <c r="G272" s="195"/>
      <c r="H272" s="195"/>
      <c r="I272" s="195"/>
      <c r="J272" s="123"/>
      <c r="K272" s="148">
        <f>fixed_ship_matl1*days_ship_matl1+variable_ship_matl1*km_ship_matl1</f>
        <v>800</v>
      </c>
      <c r="M272" s="148">
        <f t="shared" ref="M272:R272" si="73">fixed_ship_matl1*days_ship_matl1+variable_ship_matl1*km_ship_matl1</f>
        <v>800</v>
      </c>
      <c r="N272" s="148">
        <f t="shared" si="73"/>
        <v>800</v>
      </c>
      <c r="O272" s="148">
        <f t="shared" si="73"/>
        <v>800</v>
      </c>
      <c r="P272" s="148">
        <f t="shared" si="73"/>
        <v>800</v>
      </c>
      <c r="Q272" s="148">
        <f t="shared" si="73"/>
        <v>800</v>
      </c>
      <c r="R272" s="148">
        <f t="shared" si="73"/>
        <v>800</v>
      </c>
      <c r="S272" s="148">
        <f>fixed_ship_matl1*days_ship_matl1+variable_ship_matl1*km_ship_matl1</f>
        <v>800</v>
      </c>
      <c r="T272" s="148">
        <f>fixed_ship_matl1*days_ship_matl1+variable_ship_matl1*km_ship_matl1</f>
        <v>800</v>
      </c>
    </row>
    <row r="273" spans="1:20" outlineLevel="2" x14ac:dyDescent="0.25">
      <c r="A273" s="340" t="s">
        <v>252</v>
      </c>
      <c r="B273" s="341"/>
      <c r="C273" s="145" t="s">
        <v>265</v>
      </c>
      <c r="D273" s="5" t="s">
        <v>264</v>
      </c>
      <c r="E273" s="191"/>
      <c r="F273" s="10"/>
      <c r="G273" s="10"/>
      <c r="H273" s="10"/>
      <c r="I273" s="10"/>
      <c r="J273" s="185"/>
      <c r="K273" s="202">
        <v>1</v>
      </c>
      <c r="M273" s="202">
        <v>1</v>
      </c>
      <c r="N273" s="202">
        <v>1</v>
      </c>
      <c r="O273" s="202">
        <v>1</v>
      </c>
      <c r="P273" s="202">
        <v>1</v>
      </c>
      <c r="Q273" s="202">
        <v>1</v>
      </c>
      <c r="R273" s="202">
        <v>1</v>
      </c>
      <c r="S273" s="202">
        <v>1</v>
      </c>
      <c r="T273" s="202">
        <v>1</v>
      </c>
    </row>
    <row r="274" spans="1:20" outlineLevel="2" x14ac:dyDescent="0.25">
      <c r="A274" s="340" t="s">
        <v>253</v>
      </c>
      <c r="B274" s="341"/>
      <c r="C274" s="145" t="s">
        <v>266</v>
      </c>
      <c r="D274" s="5" t="s">
        <v>267</v>
      </c>
      <c r="E274" s="68"/>
      <c r="F274" s="10"/>
      <c r="G274" s="10"/>
      <c r="H274" s="10"/>
      <c r="I274" s="10"/>
      <c r="J274" s="123"/>
      <c r="K274" s="201">
        <v>500</v>
      </c>
      <c r="M274" s="201">
        <v>500</v>
      </c>
      <c r="N274" s="201">
        <v>500</v>
      </c>
      <c r="O274" s="201">
        <v>500</v>
      </c>
      <c r="P274" s="201">
        <v>500</v>
      </c>
      <c r="Q274" s="201">
        <v>500</v>
      </c>
      <c r="R274" s="201">
        <v>500</v>
      </c>
      <c r="S274" s="201">
        <v>500</v>
      </c>
      <c r="T274" s="201">
        <v>500</v>
      </c>
    </row>
    <row r="275" spans="1:20" outlineLevel="2" x14ac:dyDescent="0.25">
      <c r="A275" s="340" t="s">
        <v>254</v>
      </c>
      <c r="B275" s="341"/>
      <c r="C275" s="145" t="s">
        <v>268</v>
      </c>
      <c r="D275" s="5" t="s">
        <v>269</v>
      </c>
      <c r="E275" s="68"/>
      <c r="F275" s="10"/>
      <c r="G275" s="10"/>
      <c r="H275" s="10"/>
      <c r="I275" s="10"/>
      <c r="J275" s="123"/>
      <c r="K275" s="202">
        <v>300</v>
      </c>
      <c r="M275" s="202">
        <v>300</v>
      </c>
      <c r="N275" s="202">
        <v>300</v>
      </c>
      <c r="O275" s="202">
        <v>300</v>
      </c>
      <c r="P275" s="202">
        <v>300</v>
      </c>
      <c r="Q275" s="202">
        <v>300</v>
      </c>
      <c r="R275" s="202">
        <v>300</v>
      </c>
      <c r="S275" s="202">
        <v>300</v>
      </c>
      <c r="T275" s="202">
        <v>300</v>
      </c>
    </row>
    <row r="276" spans="1:20" outlineLevel="2" x14ac:dyDescent="0.25">
      <c r="A276" s="340" t="s">
        <v>255</v>
      </c>
      <c r="B276" s="341"/>
      <c r="C276" s="145" t="s">
        <v>270</v>
      </c>
      <c r="D276" s="5" t="s">
        <v>271</v>
      </c>
      <c r="E276" s="70"/>
      <c r="F276" s="47"/>
      <c r="G276" s="47"/>
      <c r="H276" s="47"/>
      <c r="I276" s="47"/>
      <c r="J276" s="124"/>
      <c r="K276" s="203">
        <v>100</v>
      </c>
      <c r="M276" s="203">
        <v>100</v>
      </c>
      <c r="N276" s="203">
        <v>100</v>
      </c>
      <c r="O276" s="203">
        <v>100</v>
      </c>
      <c r="P276" s="203">
        <v>100</v>
      </c>
      <c r="Q276" s="203">
        <v>100</v>
      </c>
      <c r="R276" s="203">
        <v>100</v>
      </c>
      <c r="S276" s="203">
        <v>100</v>
      </c>
      <c r="T276" s="203">
        <v>100</v>
      </c>
    </row>
    <row r="277" spans="1:20" outlineLevel="2" x14ac:dyDescent="0.25">
      <c r="A277" s="340" t="s">
        <v>256</v>
      </c>
      <c r="B277" s="341"/>
      <c r="C277" s="145" t="s">
        <v>272</v>
      </c>
      <c r="D277" s="5" t="s">
        <v>273</v>
      </c>
      <c r="E277" s="57"/>
      <c r="F277" s="47"/>
      <c r="G277" s="47"/>
      <c r="H277" s="47"/>
      <c r="I277" s="47"/>
      <c r="J277" s="47"/>
      <c r="K277" s="200">
        <f>ROUNDUP(km_ship_matl1/speed_ship_matl1/24,0)</f>
        <v>1</v>
      </c>
      <c r="M277" s="200">
        <f t="shared" ref="M277:R277" si="74">ROUNDUP(km_ship_matl1/speed_ship_matl1/24,0)</f>
        <v>1</v>
      </c>
      <c r="N277" s="200">
        <f t="shared" si="74"/>
        <v>1</v>
      </c>
      <c r="O277" s="200">
        <f t="shared" si="74"/>
        <v>1</v>
      </c>
      <c r="P277" s="200">
        <f t="shared" si="74"/>
        <v>1</v>
      </c>
      <c r="Q277" s="200">
        <f t="shared" si="74"/>
        <v>1</v>
      </c>
      <c r="R277" s="200">
        <f t="shared" si="74"/>
        <v>1</v>
      </c>
      <c r="S277" s="200">
        <f>ROUNDUP(km_ship_matl1/speed_ship_matl1/24,0)</f>
        <v>1</v>
      </c>
      <c r="T277" s="200">
        <f>ROUNDUP(km_ship_matl1/speed_ship_matl1/24,0)</f>
        <v>1</v>
      </c>
    </row>
    <row r="278" spans="1:20" outlineLevel="1" x14ac:dyDescent="0.25">
      <c r="A278" s="34"/>
      <c r="B278" s="34"/>
      <c r="C278" s="145"/>
      <c r="E278" s="57"/>
      <c r="F278" s="47"/>
      <c r="G278" s="47"/>
      <c r="H278" s="47"/>
      <c r="I278" s="47"/>
      <c r="J278" s="47"/>
      <c r="K278" s="187"/>
      <c r="M278" s="187"/>
      <c r="N278" s="187"/>
      <c r="O278" s="187"/>
      <c r="P278" s="187"/>
      <c r="Q278" s="187"/>
      <c r="R278" s="187"/>
      <c r="S278" s="187"/>
      <c r="T278" s="187"/>
    </row>
    <row r="279" spans="1:20" ht="18.75" outlineLevel="1" x14ac:dyDescent="0.25">
      <c r="A279" s="345" t="s">
        <v>203</v>
      </c>
      <c r="B279" s="347"/>
      <c r="C279" s="189" t="s">
        <v>325</v>
      </c>
      <c r="D279" s="113" t="s">
        <v>180</v>
      </c>
      <c r="E279" s="190"/>
      <c r="F279" s="135"/>
      <c r="G279" s="135"/>
      <c r="H279" s="135"/>
      <c r="I279" s="135"/>
      <c r="J279" s="135"/>
      <c r="K279" s="206">
        <f>cost_ship_matl2/amount_ship_matl2</f>
        <v>3.3446902051375074E-4</v>
      </c>
      <c r="M279" s="206">
        <f t="shared" ref="M279:R279" si="75">cost_ship_matl2/amount_ship_matl2</f>
        <v>2.8780057523372458</v>
      </c>
      <c r="N279" s="206">
        <f t="shared" si="75"/>
        <v>3.3446902051375074E-4</v>
      </c>
      <c r="O279" s="206">
        <f t="shared" si="75"/>
        <v>3.3446902051375074E-4</v>
      </c>
      <c r="P279" s="206">
        <f t="shared" si="75"/>
        <v>3.3446902051375074E-4</v>
      </c>
      <c r="Q279" s="206">
        <f t="shared" si="75"/>
        <v>3.3446902051375074E-4</v>
      </c>
      <c r="R279" s="206">
        <f t="shared" si="75"/>
        <v>3.3446902051375074E-4</v>
      </c>
      <c r="S279" s="206">
        <f>cost_ship_matl2/amount_ship_matl2</f>
        <v>3.3446902051375074E-4</v>
      </c>
      <c r="T279" s="206">
        <f>cost_ship_matl2/amount_ship_matl2</f>
        <v>3.3446902051375074E-4</v>
      </c>
    </row>
    <row r="280" spans="1:20" outlineLevel="2" x14ac:dyDescent="0.25">
      <c r="A280" s="342" t="s">
        <v>248</v>
      </c>
      <c r="B280" s="343"/>
      <c r="C280" s="192" t="s">
        <v>326</v>
      </c>
      <c r="D280" s="113" t="s">
        <v>258</v>
      </c>
      <c r="E280" s="190"/>
      <c r="F280" s="135"/>
      <c r="G280" s="135"/>
      <c r="H280" s="135"/>
      <c r="I280" s="135"/>
      <c r="J280" s="135"/>
      <c r="K280" s="204">
        <f>kg_ship_matl2*1000/total_wt_matl2_w_scrap</f>
        <v>2391850.8170687524</v>
      </c>
      <c r="M280" s="204">
        <f t="shared" ref="M280:R280" si="76">kg_ship_matl2*1000/total_wt_matl2_w_scrap</f>
        <v>277.97025747787865</v>
      </c>
      <c r="N280" s="204">
        <f t="shared" si="76"/>
        <v>2391850.8170687524</v>
      </c>
      <c r="O280" s="204">
        <f t="shared" si="76"/>
        <v>2391850.8170687524</v>
      </c>
      <c r="P280" s="204">
        <f t="shared" si="76"/>
        <v>2391850.8170687524</v>
      </c>
      <c r="Q280" s="204">
        <f t="shared" si="76"/>
        <v>2391850.8170687524</v>
      </c>
      <c r="R280" s="204">
        <f t="shared" si="76"/>
        <v>2391850.8170687524</v>
      </c>
      <c r="S280" s="204">
        <f>kg_ship_matl2*1000/total_wt_matl2_w_scrap</f>
        <v>2391850.8170687524</v>
      </c>
      <c r="T280" s="204">
        <f>kg_ship_matl2*1000/total_wt_matl2_w_scrap</f>
        <v>2391850.8170687524</v>
      </c>
    </row>
    <row r="281" spans="1:20" outlineLevel="2" x14ac:dyDescent="0.25">
      <c r="A281" s="340" t="s">
        <v>250</v>
      </c>
      <c r="B281" s="341"/>
      <c r="C281" s="145" t="s">
        <v>327</v>
      </c>
      <c r="D281" s="5" t="s">
        <v>260</v>
      </c>
      <c r="E281" s="57"/>
      <c r="F281" s="47"/>
      <c r="G281" s="47"/>
      <c r="H281" s="47"/>
      <c r="I281" s="47"/>
      <c r="J281" s="47"/>
      <c r="K281" s="201">
        <v>10000</v>
      </c>
      <c r="M281" s="201">
        <v>10000</v>
      </c>
      <c r="N281" s="201">
        <v>10000</v>
      </c>
      <c r="O281" s="201">
        <v>10000</v>
      </c>
      <c r="P281" s="201">
        <v>10000</v>
      </c>
      <c r="Q281" s="201">
        <v>10000</v>
      </c>
      <c r="R281" s="201">
        <v>10000</v>
      </c>
      <c r="S281" s="201">
        <v>10000</v>
      </c>
      <c r="T281" s="201">
        <v>10000</v>
      </c>
    </row>
    <row r="282" spans="1:20" outlineLevel="2" x14ac:dyDescent="0.25">
      <c r="A282" s="340" t="s">
        <v>251</v>
      </c>
      <c r="B282" s="341"/>
      <c r="C282" s="145" t="s">
        <v>328</v>
      </c>
      <c r="E282" s="57"/>
      <c r="F282" s="47"/>
      <c r="G282" s="47"/>
      <c r="H282" s="47"/>
      <c r="I282" s="47"/>
      <c r="J282" s="47"/>
      <c r="K282" s="200">
        <f>percentTotalWeight2*totalWeight*(1+p_add_process)/(1-p_scrap_matl2)</f>
        <v>4.1808627564218845</v>
      </c>
      <c r="M282" s="200">
        <f t="shared" ref="M282:R282" si="77">percentTotalWeight2*totalWeight*(1+p_add_process)/(1-p_scrap_matl2)</f>
        <v>35975.071904215569</v>
      </c>
      <c r="N282" s="200">
        <f t="shared" si="77"/>
        <v>4.1808627564218845</v>
      </c>
      <c r="O282" s="200">
        <f t="shared" si="77"/>
        <v>4.1808627564218845</v>
      </c>
      <c r="P282" s="200">
        <f t="shared" si="77"/>
        <v>4.1808627564218845</v>
      </c>
      <c r="Q282" s="200">
        <f t="shared" si="77"/>
        <v>4.1808627564218845</v>
      </c>
      <c r="R282" s="200">
        <f t="shared" si="77"/>
        <v>4.1808627564218845</v>
      </c>
      <c r="S282" s="200">
        <f>percentTotalWeight2*totalWeight*(1+p_add_process)/(1-p_scrap_matl2)</f>
        <v>4.1808627564218845</v>
      </c>
      <c r="T282" s="200">
        <f>percentTotalWeight2*totalWeight*(1+p_add_process)/(1-p_scrap_matl2)</f>
        <v>4.1808627564218845</v>
      </c>
    </row>
    <row r="283" spans="1:20" outlineLevel="2" x14ac:dyDescent="0.25">
      <c r="A283" s="342" t="s">
        <v>249</v>
      </c>
      <c r="B283" s="343"/>
      <c r="C283" s="192" t="s">
        <v>329</v>
      </c>
      <c r="D283" s="113" t="s">
        <v>263</v>
      </c>
      <c r="E283" s="190"/>
      <c r="F283" s="135"/>
      <c r="G283" s="135"/>
      <c r="H283" s="135"/>
      <c r="I283" s="135"/>
      <c r="J283" s="135"/>
      <c r="K283" s="204">
        <f>fixed_ship_matl2*days_ship_matl2+variable_ship_matl2*km_ship_matl2</f>
        <v>800</v>
      </c>
      <c r="M283" s="204">
        <f t="shared" ref="M283:R283" si="78">fixed_ship_matl2*days_ship_matl2+variable_ship_matl2*km_ship_matl2</f>
        <v>800</v>
      </c>
      <c r="N283" s="204">
        <f t="shared" si="78"/>
        <v>800</v>
      </c>
      <c r="O283" s="204">
        <f t="shared" si="78"/>
        <v>800</v>
      </c>
      <c r="P283" s="204">
        <f t="shared" si="78"/>
        <v>800</v>
      </c>
      <c r="Q283" s="204">
        <f t="shared" si="78"/>
        <v>800</v>
      </c>
      <c r="R283" s="204">
        <f t="shared" si="78"/>
        <v>800</v>
      </c>
      <c r="S283" s="204">
        <f>fixed_ship_matl2*days_ship_matl2+variable_ship_matl2*km_ship_matl2</f>
        <v>800</v>
      </c>
      <c r="T283" s="204">
        <f>fixed_ship_matl2*days_ship_matl2+variable_ship_matl2*km_ship_matl2</f>
        <v>800</v>
      </c>
    </row>
    <row r="284" spans="1:20" outlineLevel="2" x14ac:dyDescent="0.25">
      <c r="A284" s="340" t="s">
        <v>252</v>
      </c>
      <c r="B284" s="341"/>
      <c r="C284" s="145" t="s">
        <v>330</v>
      </c>
      <c r="D284" s="5" t="s">
        <v>264</v>
      </c>
      <c r="E284" s="57"/>
      <c r="F284" s="47"/>
      <c r="G284" s="47"/>
      <c r="H284" s="47"/>
      <c r="I284" s="47"/>
      <c r="J284" s="47"/>
      <c r="K284" s="202">
        <v>1</v>
      </c>
      <c r="M284" s="202">
        <v>1</v>
      </c>
      <c r="N284" s="202">
        <v>1</v>
      </c>
      <c r="O284" s="202">
        <v>1</v>
      </c>
      <c r="P284" s="202">
        <v>1</v>
      </c>
      <c r="Q284" s="202">
        <v>1</v>
      </c>
      <c r="R284" s="202">
        <v>1</v>
      </c>
      <c r="S284" s="202">
        <v>1</v>
      </c>
      <c r="T284" s="202">
        <v>1</v>
      </c>
    </row>
    <row r="285" spans="1:20" outlineLevel="2" x14ac:dyDescent="0.25">
      <c r="A285" s="340" t="s">
        <v>253</v>
      </c>
      <c r="B285" s="341"/>
      <c r="C285" s="145" t="s">
        <v>331</v>
      </c>
      <c r="D285" s="5" t="s">
        <v>267</v>
      </c>
      <c r="E285" s="57"/>
      <c r="F285" s="47"/>
      <c r="G285" s="47"/>
      <c r="H285" s="47"/>
      <c r="I285" s="47"/>
      <c r="J285" s="47"/>
      <c r="K285" s="201">
        <v>500</v>
      </c>
      <c r="M285" s="201">
        <v>500</v>
      </c>
      <c r="N285" s="201">
        <v>500</v>
      </c>
      <c r="O285" s="201">
        <v>500</v>
      </c>
      <c r="P285" s="201">
        <v>500</v>
      </c>
      <c r="Q285" s="201">
        <v>500</v>
      </c>
      <c r="R285" s="201">
        <v>500</v>
      </c>
      <c r="S285" s="201">
        <v>500</v>
      </c>
      <c r="T285" s="201">
        <v>500</v>
      </c>
    </row>
    <row r="286" spans="1:20" outlineLevel="2" x14ac:dyDescent="0.25">
      <c r="A286" s="340" t="s">
        <v>254</v>
      </c>
      <c r="B286" s="341"/>
      <c r="C286" s="145" t="s">
        <v>332</v>
      </c>
      <c r="D286" s="5" t="s">
        <v>269</v>
      </c>
      <c r="E286" s="57"/>
      <c r="F286" s="47"/>
      <c r="G286" s="47"/>
      <c r="H286" s="47"/>
      <c r="I286" s="47"/>
      <c r="J286" s="47"/>
      <c r="K286" s="202">
        <v>300</v>
      </c>
      <c r="M286" s="202">
        <v>300</v>
      </c>
      <c r="N286" s="202">
        <v>300</v>
      </c>
      <c r="O286" s="202">
        <v>300</v>
      </c>
      <c r="P286" s="202">
        <v>300</v>
      </c>
      <c r="Q286" s="202">
        <v>300</v>
      </c>
      <c r="R286" s="202">
        <v>300</v>
      </c>
      <c r="S286" s="202">
        <v>300</v>
      </c>
      <c r="T286" s="202">
        <v>300</v>
      </c>
    </row>
    <row r="287" spans="1:20" outlineLevel="2" x14ac:dyDescent="0.25">
      <c r="A287" s="340" t="s">
        <v>255</v>
      </c>
      <c r="B287" s="341"/>
      <c r="C287" s="145" t="s">
        <v>333</v>
      </c>
      <c r="D287" s="5" t="s">
        <v>271</v>
      </c>
      <c r="E287" s="57"/>
      <c r="F287" s="47"/>
      <c r="G287" s="47"/>
      <c r="H287" s="47"/>
      <c r="I287" s="47"/>
      <c r="J287" s="47"/>
      <c r="K287" s="203">
        <v>100</v>
      </c>
      <c r="M287" s="203">
        <v>100</v>
      </c>
      <c r="N287" s="203">
        <v>100</v>
      </c>
      <c r="O287" s="203">
        <v>100</v>
      </c>
      <c r="P287" s="203">
        <v>100</v>
      </c>
      <c r="Q287" s="203">
        <v>100</v>
      </c>
      <c r="R287" s="203">
        <v>100</v>
      </c>
      <c r="S287" s="203">
        <v>100</v>
      </c>
      <c r="T287" s="203">
        <v>100</v>
      </c>
    </row>
    <row r="288" spans="1:20" outlineLevel="2" x14ac:dyDescent="0.25">
      <c r="A288" s="340" t="s">
        <v>256</v>
      </c>
      <c r="B288" s="341"/>
      <c r="C288" s="145" t="s">
        <v>334</v>
      </c>
      <c r="D288" s="5" t="s">
        <v>273</v>
      </c>
      <c r="E288" s="57"/>
      <c r="F288" s="47"/>
      <c r="G288" s="47"/>
      <c r="H288" s="47"/>
      <c r="I288" s="47"/>
      <c r="J288" s="47"/>
      <c r="K288" s="200">
        <f>ROUNDUP(km_ship_matl2/speed_ship_matl2/24,0)</f>
        <v>1</v>
      </c>
      <c r="M288" s="200">
        <f t="shared" ref="M288:R288" si="79">ROUNDUP(km_ship_matl2/speed_ship_matl2/24,0)</f>
        <v>1</v>
      </c>
      <c r="N288" s="200">
        <f t="shared" si="79"/>
        <v>1</v>
      </c>
      <c r="O288" s="200">
        <f t="shared" si="79"/>
        <v>1</v>
      </c>
      <c r="P288" s="200">
        <f t="shared" si="79"/>
        <v>1</v>
      </c>
      <c r="Q288" s="200">
        <f t="shared" si="79"/>
        <v>1</v>
      </c>
      <c r="R288" s="200">
        <f t="shared" si="79"/>
        <v>1</v>
      </c>
      <c r="S288" s="200">
        <f>ROUNDUP(km_ship_matl2/speed_ship_matl2/24,0)</f>
        <v>1</v>
      </c>
      <c r="T288" s="200">
        <f>ROUNDUP(km_ship_matl2/speed_ship_matl2/24,0)</f>
        <v>1</v>
      </c>
    </row>
    <row r="289" spans="1:20" s="59" customFormat="1" x14ac:dyDescent="0.25">
      <c r="C289" s="60"/>
      <c r="E289" s="61"/>
      <c r="K289" s="61"/>
      <c r="M289" s="61"/>
      <c r="N289" s="61"/>
      <c r="O289" s="61"/>
      <c r="P289" s="61"/>
      <c r="Q289" s="61"/>
      <c r="R289" s="61"/>
      <c r="S289" s="61"/>
      <c r="T289" s="61"/>
    </row>
    <row r="290" spans="1:20" s="59" customFormat="1" x14ac:dyDescent="0.25">
      <c r="C290" s="60"/>
      <c r="E290" s="61"/>
      <c r="K290" s="61"/>
      <c r="M290" s="61"/>
      <c r="N290" s="61"/>
      <c r="O290" s="61"/>
      <c r="P290" s="61"/>
      <c r="Q290" s="61"/>
      <c r="R290" s="61"/>
      <c r="S290" s="61"/>
      <c r="T290" s="61"/>
    </row>
    <row r="291" spans="1:20" s="21" customFormat="1" x14ac:dyDescent="0.25">
      <c r="A291" s="75" t="s">
        <v>100</v>
      </c>
      <c r="B291" s="63"/>
      <c r="C291" s="64" t="s">
        <v>101</v>
      </c>
      <c r="D291" s="65" t="s">
        <v>94</v>
      </c>
      <c r="E291" s="44">
        <v>2.0000000000000001E-4</v>
      </c>
      <c r="J291" s="44">
        <v>2.0000000000000001E-4</v>
      </c>
      <c r="K291" s="283">
        <v>2.0000000000000001E-4</v>
      </c>
      <c r="M291" s="283">
        <v>2.0000000000000001E-4</v>
      </c>
      <c r="N291" s="283">
        <v>2.0000000000000001E-4</v>
      </c>
      <c r="O291" s="283">
        <v>2.0000000000000001E-4</v>
      </c>
      <c r="P291" s="283">
        <v>2.0000000000000001E-4</v>
      </c>
      <c r="Q291" s="283">
        <v>2.0000000000000001E-4</v>
      </c>
      <c r="R291" s="283">
        <v>2.0000000000000001E-4</v>
      </c>
      <c r="S291" s="283">
        <v>2.0000000000000001E-4</v>
      </c>
      <c r="T291" s="283">
        <v>2.0000000000000001E-4</v>
      </c>
    </row>
    <row r="292" spans="1:20" outlineLevel="1" x14ac:dyDescent="0.25">
      <c r="A292" s="51"/>
      <c r="C292" s="9" t="s">
        <v>102</v>
      </c>
      <c r="D292" s="67" t="s">
        <v>95</v>
      </c>
      <c r="E292" s="45">
        <f>dollPerPENNYocgs*totalTHRUPUT</f>
        <v>18247.68</v>
      </c>
      <c r="J292" s="45">
        <f t="shared" ref="J292:O292" si="80">dollPerPENNYocgs*totalTHRUPUT</f>
        <v>2397446.88</v>
      </c>
      <c r="K292" s="69">
        <f>dollPerPENNYocgs*volume</f>
        <v>1634800</v>
      </c>
      <c r="M292" s="69">
        <f t="shared" si="80"/>
        <v>2645201.4547860003</v>
      </c>
      <c r="N292" s="69">
        <f t="shared" si="80"/>
        <v>2645201.4547860003</v>
      </c>
      <c r="O292" s="69">
        <f t="shared" si="80"/>
        <v>2645201.4547860003</v>
      </c>
      <c r="P292" s="69">
        <f>dollPerPENNYocgs*volume</f>
        <v>1634800</v>
      </c>
      <c r="Q292" s="69">
        <f>dollPerPENNYocgs*volume</f>
        <v>1634800</v>
      </c>
      <c r="R292" s="69">
        <f>dollPerPENNYocgs*volume</f>
        <v>1634800</v>
      </c>
      <c r="S292" s="69">
        <f>dollPerPENNYocgs*volume</f>
        <v>1634800</v>
      </c>
      <c r="T292" s="69">
        <f>dollPerPENNYocgs*volume</f>
        <v>1634800</v>
      </c>
    </row>
    <row r="293" spans="1:20" outlineLevel="1" x14ac:dyDescent="0.25">
      <c r="A293" s="52"/>
      <c r="B293" s="53"/>
      <c r="C293" s="54"/>
      <c r="D293" s="72" t="s">
        <v>98</v>
      </c>
      <c r="E293" s="48">
        <f>dollPerYEARocgs/dollPerYEARtotal</f>
        <v>1.0000000000000002E-2</v>
      </c>
      <c r="F293" s="47"/>
      <c r="G293" s="47"/>
      <c r="H293" s="47"/>
      <c r="I293" s="47"/>
      <c r="J293" s="48">
        <f t="shared" ref="J293:T293" si="81">dollPerYEARocgs/dollPerYEARtotal</f>
        <v>0.01</v>
      </c>
      <c r="K293" s="74">
        <f t="shared" si="81"/>
        <v>5.916021257659442E-3</v>
      </c>
      <c r="M293" s="74">
        <f t="shared" si="81"/>
        <v>-7.7782009732688033E-7</v>
      </c>
      <c r="N293" s="74">
        <f t="shared" si="81"/>
        <v>-2.8355801646988828E-7</v>
      </c>
      <c r="O293" s="74">
        <f t="shared" si="81"/>
        <v>8.3002953851413711E-3</v>
      </c>
      <c r="P293" s="74">
        <f t="shared" si="81"/>
        <v>6.0935111809395362E-3</v>
      </c>
      <c r="Q293" s="74">
        <f t="shared" si="81"/>
        <v>5.4511382980141155E-3</v>
      </c>
      <c r="R293" s="74">
        <f t="shared" si="81"/>
        <v>7.2883711336579858E-18</v>
      </c>
      <c r="S293" s="74">
        <f t="shared" si="81"/>
        <v>5.4069434470537889E-3</v>
      </c>
      <c r="T293" s="74">
        <f t="shared" si="81"/>
        <v>0</v>
      </c>
    </row>
    <row r="294" spans="1:20" s="59" customFormat="1" x14ac:dyDescent="0.25">
      <c r="C294" s="60"/>
      <c r="E294" s="61"/>
      <c r="K294" s="61"/>
      <c r="M294" s="61"/>
      <c r="N294" s="61"/>
      <c r="O294" s="61"/>
      <c r="P294" s="61"/>
      <c r="Q294" s="61"/>
      <c r="R294" s="61"/>
      <c r="S294" s="61"/>
      <c r="T294" s="61"/>
    </row>
    <row r="295" spans="1:20" s="59" customFormat="1" x14ac:dyDescent="0.25">
      <c r="C295" s="60"/>
      <c r="E295" s="61"/>
      <c r="K295" s="61"/>
      <c r="M295" s="61"/>
      <c r="N295" s="61"/>
      <c r="O295" s="61"/>
      <c r="P295" s="61"/>
      <c r="Q295" s="61"/>
      <c r="R295" s="61"/>
      <c r="S295" s="61"/>
      <c r="T295" s="61"/>
    </row>
    <row r="296" spans="1:20" s="76" customFormat="1" x14ac:dyDescent="0.25">
      <c r="A296" s="76" t="s">
        <v>103</v>
      </c>
      <c r="C296" s="77" t="s">
        <v>104</v>
      </c>
      <c r="D296" s="76" t="s">
        <v>94</v>
      </c>
      <c r="E296" s="78">
        <f>dollPerPENNYlogi+dollPerPENNYmanu+dollPerPENNYmatcost+dollPerPENNYocgs</f>
        <v>1.9E-2</v>
      </c>
      <c r="F296" s="79"/>
      <c r="G296" s="79"/>
      <c r="H296" s="79"/>
      <c r="I296" s="79"/>
      <c r="J296" s="78">
        <f>dollPerPENNYlogi+dollPerPENNYmanu+dollPerPENNYmatcost+dollPerPENNYocgs</f>
        <v>1.9E-2</v>
      </c>
      <c r="K296" s="285">
        <f>materials+manufacturing+logistics+dollPerPENNYocgs</f>
        <v>3.28065046235358E-2</v>
      </c>
      <c r="M296" s="285">
        <f t="shared" ref="M296:R296" si="82">materials+manufacturing+logistics+dollPerPENNYocgs</f>
        <v>-235.0037458408583</v>
      </c>
      <c r="N296" s="285">
        <f t="shared" si="82"/>
        <v>-644.63048682472333</v>
      </c>
      <c r="O296" s="285">
        <f t="shared" si="82"/>
        <v>2.1022090800435683E-2</v>
      </c>
      <c r="P296" s="285">
        <f t="shared" si="82"/>
        <v>2.8997460120166192E-2</v>
      </c>
      <c r="Q296" s="285">
        <f t="shared" si="82"/>
        <v>3.2532419955041691E-2</v>
      </c>
      <c r="R296" s="285">
        <f t="shared" si="82"/>
        <v>25079658443556.715</v>
      </c>
      <c r="S296" s="285">
        <f>materials+manufacturing+logistics+dollPerPENNYocgs</f>
        <v>3.28065046235358E-2</v>
      </c>
      <c r="T296" s="285">
        <f>materials+manufacturing+logistics+dollPerPENNYocgs</f>
        <v>3.28065046235358E-2</v>
      </c>
    </row>
    <row r="297" spans="1:20" outlineLevel="1" x14ac:dyDescent="0.25">
      <c r="C297" s="9" t="s">
        <v>105</v>
      </c>
      <c r="D297" s="5" t="s">
        <v>95</v>
      </c>
      <c r="E297" s="45">
        <f>dollPerPENNYtotalcogs*totalTHRUPUT</f>
        <v>1733529.5999999999</v>
      </c>
      <c r="F297" s="10"/>
      <c r="G297" s="10"/>
      <c r="H297" s="10"/>
      <c r="I297" s="10"/>
      <c r="J297" s="45">
        <f t="shared" ref="J297:O297" si="83">dollPerPENNYtotalcogs*totalTHRUPUT</f>
        <v>227757453.59999999</v>
      </c>
      <c r="K297" s="69">
        <f>dollPerPENNYtotalcogs*volume</f>
        <v>268160368.79278162</v>
      </c>
      <c r="M297" s="69">
        <f t="shared" si="83"/>
        <v>-3108161251891.9888</v>
      </c>
      <c r="N297" s="69">
        <f t="shared" si="83"/>
        <v>-8525887507740.8281</v>
      </c>
      <c r="O297" s="69">
        <f t="shared" si="83"/>
        <v>278038325.83977932</v>
      </c>
      <c r="P297" s="69">
        <f>dollPerPENNYtotalcogs*volume</f>
        <v>237025239.02223846</v>
      </c>
      <c r="Q297" s="69">
        <f>dollPerPENNYtotalcogs*volume</f>
        <v>265920000.71251079</v>
      </c>
      <c r="R297" s="69">
        <f>dollPerPENNYtotalcogs*volume</f>
        <v>2.050011281176326E+23</v>
      </c>
      <c r="S297" s="69">
        <f>dollPerPENNYtotalcogs*volume</f>
        <v>268160368.79278162</v>
      </c>
      <c r="T297" s="69">
        <f>dollPerPENNYtotalcogs*volume</f>
        <v>268160368.79278162</v>
      </c>
    </row>
    <row r="298" spans="1:20" outlineLevel="1" x14ac:dyDescent="0.25">
      <c r="C298" s="9"/>
      <c r="D298" s="5" t="s">
        <v>98</v>
      </c>
      <c r="E298" s="48">
        <f>dollPerPENNYtotalcogs/dollPerPENNYtotal</f>
        <v>0.95000000000000007</v>
      </c>
      <c r="F298" s="47"/>
      <c r="G298" s="47"/>
      <c r="H298" s="47"/>
      <c r="I298" s="47"/>
      <c r="J298" s="48">
        <f t="shared" ref="J298:T298" si="84">dollPerPENNYtotalcogs/dollPerPENNYtotal</f>
        <v>0.95000000000000007</v>
      </c>
      <c r="K298" s="74">
        <f t="shared" si="84"/>
        <v>0.97041989371170279</v>
      </c>
      <c r="M298" s="74">
        <f t="shared" si="84"/>
        <v>1.0000042552694286</v>
      </c>
      <c r="N298" s="74">
        <f t="shared" si="84"/>
        <v>1.0000015512787119</v>
      </c>
      <c r="O298" s="74">
        <f t="shared" si="84"/>
        <v>0.95459105091056051</v>
      </c>
      <c r="P298" s="74">
        <f t="shared" si="84"/>
        <v>0.96666384433901675</v>
      </c>
      <c r="Q298" s="74">
        <f t="shared" si="84"/>
        <v>0.97017811415517452</v>
      </c>
      <c r="R298" s="74">
        <f t="shared" si="84"/>
        <v>1</v>
      </c>
      <c r="S298" s="74">
        <f t="shared" si="84"/>
        <v>0.97041989371170279</v>
      </c>
      <c r="T298" s="74">
        <f t="shared" si="84"/>
        <v>0.97041989371170279</v>
      </c>
    </row>
    <row r="299" spans="1:20" s="18" customFormat="1" x14ac:dyDescent="0.25">
      <c r="E299" s="19"/>
      <c r="K299" s="19"/>
      <c r="M299" s="19"/>
      <c r="N299" s="19"/>
      <c r="O299" s="19"/>
      <c r="P299" s="19"/>
      <c r="Q299" s="19"/>
      <c r="R299" s="19"/>
      <c r="S299" s="19"/>
      <c r="T299" s="19"/>
    </row>
    <row r="300" spans="1:20" s="18" customFormat="1" x14ac:dyDescent="0.25">
      <c r="E300" s="19"/>
      <c r="K300" s="19"/>
      <c r="M300" s="19"/>
      <c r="N300" s="19"/>
      <c r="O300" s="19"/>
      <c r="P300" s="19"/>
      <c r="Q300" s="19"/>
      <c r="R300" s="19"/>
      <c r="S300" s="19"/>
      <c r="T300" s="19"/>
    </row>
    <row r="301" spans="1:20" s="21" customFormat="1" x14ac:dyDescent="0.25">
      <c r="A301" s="21" t="s">
        <v>24</v>
      </c>
      <c r="C301" s="41" t="s">
        <v>106</v>
      </c>
      <c r="D301" s="21" t="s">
        <v>94</v>
      </c>
      <c r="E301" s="44">
        <v>2.0000000000000001E-4</v>
      </c>
      <c r="J301" s="44">
        <v>2.0000000000000001E-4</v>
      </c>
      <c r="K301" s="287">
        <v>2.0000000000000001E-4</v>
      </c>
      <c r="M301" s="287">
        <v>2.0000000000000001E-4</v>
      </c>
      <c r="N301" s="287">
        <v>2.0000000000000001E-4</v>
      </c>
      <c r="O301" s="287">
        <v>2.0000000000000001E-4</v>
      </c>
      <c r="P301" s="287">
        <v>2.0000000000000001E-4</v>
      </c>
      <c r="Q301" s="287">
        <v>2.0000000000000001E-4</v>
      </c>
      <c r="R301" s="287">
        <v>2.0000000000000001E-4</v>
      </c>
      <c r="S301" s="287">
        <v>2.0000000000000001E-4</v>
      </c>
      <c r="T301" s="287">
        <v>2.0000000000000001E-4</v>
      </c>
    </row>
    <row r="302" spans="1:20" outlineLevel="1" x14ac:dyDescent="0.25">
      <c r="C302" s="9" t="s">
        <v>107</v>
      </c>
      <c r="D302" s="5" t="s">
        <v>95</v>
      </c>
      <c r="E302" s="45">
        <f>dollPerPENNYmrktg*totalTHRUPUT</f>
        <v>18247.68</v>
      </c>
      <c r="J302" s="45">
        <f t="shared" ref="J302:O302" si="85">dollPerPENNYmrktg*totalTHRUPUT</f>
        <v>2397446.88</v>
      </c>
      <c r="K302" s="69">
        <f>dollPerPENNYmrktg*volume</f>
        <v>1634800</v>
      </c>
      <c r="M302" s="69">
        <f t="shared" si="85"/>
        <v>2645201.4547860003</v>
      </c>
      <c r="N302" s="69">
        <f t="shared" si="85"/>
        <v>2645201.4547860003</v>
      </c>
      <c r="O302" s="69">
        <f t="shared" si="85"/>
        <v>2645201.4547860003</v>
      </c>
      <c r="P302" s="69">
        <f>dollPerPENNYmrktg*volume</f>
        <v>1634800</v>
      </c>
      <c r="Q302" s="69">
        <f>dollPerPENNYmrktg*volume</f>
        <v>1634800</v>
      </c>
      <c r="R302" s="69">
        <f>dollPerPENNYmrktg*volume</f>
        <v>1634800</v>
      </c>
      <c r="S302" s="69">
        <f>dollPerPENNYmrktg*volume</f>
        <v>1634800</v>
      </c>
      <c r="T302" s="69">
        <f>dollPerPENNYmrktg*volume</f>
        <v>1634800</v>
      </c>
    </row>
    <row r="303" spans="1:20" outlineLevel="1" x14ac:dyDescent="0.25">
      <c r="C303" s="9"/>
      <c r="D303" s="5" t="s">
        <v>98</v>
      </c>
      <c r="E303" s="48">
        <f>dollPerYEARmrktg/dollPerYEARtotal</f>
        <v>1.0000000000000002E-2</v>
      </c>
      <c r="F303" s="47"/>
      <c r="G303" s="47"/>
      <c r="H303" s="47"/>
      <c r="I303" s="47"/>
      <c r="J303" s="48">
        <f t="shared" ref="J303:T303" si="86">dollPerYEARmrktg/dollPerYEARtotal</f>
        <v>0.01</v>
      </c>
      <c r="K303" s="74">
        <f t="shared" si="86"/>
        <v>3.6562476307892746E-3</v>
      </c>
      <c r="M303" s="74">
        <f t="shared" si="86"/>
        <v>-8.5105388570837461E-7</v>
      </c>
      <c r="N303" s="74">
        <f t="shared" si="86"/>
        <v>-3.10255742388E-7</v>
      </c>
      <c r="O303" s="74">
        <f t="shared" si="86"/>
        <v>9.0817898178879204E-3</v>
      </c>
      <c r="P303" s="74">
        <f t="shared" si="86"/>
        <v>4.1205139348439159E-3</v>
      </c>
      <c r="Q303" s="74">
        <f t="shared" si="86"/>
        <v>3.6861327813737191E-3</v>
      </c>
      <c r="R303" s="74">
        <f t="shared" si="86"/>
        <v>4.9284942501609358E-18</v>
      </c>
      <c r="S303" s="74">
        <f t="shared" si="86"/>
        <v>3.6562476307892746E-3</v>
      </c>
      <c r="T303" s="74">
        <f t="shared" si="86"/>
        <v>3.6562476307892746E-3</v>
      </c>
    </row>
    <row r="304" spans="1:20" s="59" customFormat="1" x14ac:dyDescent="0.25">
      <c r="C304" s="60"/>
      <c r="E304" s="61"/>
      <c r="K304" s="61"/>
      <c r="M304" s="61"/>
      <c r="N304" s="61"/>
      <c r="O304" s="61"/>
      <c r="P304" s="61"/>
      <c r="Q304" s="61"/>
      <c r="R304" s="61"/>
      <c r="S304" s="61"/>
      <c r="T304" s="61"/>
    </row>
    <row r="305" spans="1:20" s="21" customFormat="1" x14ac:dyDescent="0.25">
      <c r="A305" s="21" t="s">
        <v>108</v>
      </c>
      <c r="C305" s="41" t="s">
        <v>109</v>
      </c>
      <c r="D305" s="21" t="s">
        <v>94</v>
      </c>
      <c r="E305" s="44">
        <v>8.0000000000000004E-4</v>
      </c>
      <c r="J305" s="44">
        <v>8.0000000000000004E-4</v>
      </c>
      <c r="K305" s="287">
        <v>8.0000000000000004E-4</v>
      </c>
      <c r="M305" s="287">
        <v>8.0000000000000004E-4</v>
      </c>
      <c r="N305" s="287">
        <v>8.0000000000000004E-4</v>
      </c>
      <c r="O305" s="287">
        <v>8.0000000000000004E-4</v>
      </c>
      <c r="P305" s="287">
        <v>8.0000000000000004E-4</v>
      </c>
      <c r="Q305" s="287">
        <v>8.0000000000000004E-4</v>
      </c>
      <c r="R305" s="287">
        <v>8.0000000000000004E-4</v>
      </c>
      <c r="S305" s="287">
        <v>8.0000000000000004E-4</v>
      </c>
      <c r="T305" s="287">
        <v>8.0000000000000004E-4</v>
      </c>
    </row>
    <row r="306" spans="1:20" outlineLevel="1" x14ac:dyDescent="0.25">
      <c r="C306" s="9" t="s">
        <v>110</v>
      </c>
      <c r="D306" s="5" t="s">
        <v>95</v>
      </c>
      <c r="E306" s="45">
        <f>dollPerPENNYoverhead*totalTHRUPUT</f>
        <v>72990.720000000001</v>
      </c>
      <c r="J306" s="45">
        <f t="shared" ref="J306:O306" si="87">dollPerPENNYoverhead*totalTHRUPUT</f>
        <v>9589787.5199999996</v>
      </c>
      <c r="K306" s="69">
        <f>dollPerPENNYoverhead*volume</f>
        <v>6539200</v>
      </c>
      <c r="M306" s="69">
        <f t="shared" si="87"/>
        <v>10580805.819144001</v>
      </c>
      <c r="N306" s="69">
        <f t="shared" si="87"/>
        <v>10580805.819144001</v>
      </c>
      <c r="O306" s="69">
        <f t="shared" si="87"/>
        <v>10580805.819144001</v>
      </c>
      <c r="P306" s="69">
        <f>dollPerPENNYoverhead*volume</f>
        <v>6539200</v>
      </c>
      <c r="Q306" s="69">
        <f>dollPerPENNYoverhead*volume</f>
        <v>6539200</v>
      </c>
      <c r="R306" s="69">
        <f>dollPerPENNYoverhead*volume</f>
        <v>6539200</v>
      </c>
      <c r="S306" s="69">
        <f>dollPerPENNYoverhead*volume</f>
        <v>6539200</v>
      </c>
      <c r="T306" s="69">
        <f>dollPerPENNYoverhead*volume</f>
        <v>6539200</v>
      </c>
    </row>
    <row r="307" spans="1:20" outlineLevel="1" x14ac:dyDescent="0.25">
      <c r="C307" s="9"/>
      <c r="D307" s="5" t="s">
        <v>98</v>
      </c>
      <c r="E307" s="48">
        <f>dollPerYEARoverhead/dollPerYEARtotal</f>
        <v>4.0000000000000008E-2</v>
      </c>
      <c r="F307" s="47"/>
      <c r="G307" s="47"/>
      <c r="H307" s="47"/>
      <c r="I307" s="47"/>
      <c r="J307" s="48">
        <f t="shared" ref="J307:T307" si="88">dollPerYEARoverhead/dollPerYEARtotal</f>
        <v>0.04</v>
      </c>
      <c r="K307" s="74">
        <f t="shared" si="88"/>
        <v>1.4624990523157098E-2</v>
      </c>
      <c r="M307" s="74">
        <f t="shared" si="88"/>
        <v>-3.4042155428334984E-6</v>
      </c>
      <c r="N307" s="74">
        <f t="shared" si="88"/>
        <v>-1.241022969552E-6</v>
      </c>
      <c r="O307" s="74">
        <f t="shared" si="88"/>
        <v>3.6327159271551682E-2</v>
      </c>
      <c r="P307" s="74">
        <f t="shared" si="88"/>
        <v>1.6482055739375664E-2</v>
      </c>
      <c r="Q307" s="74">
        <f t="shared" si="88"/>
        <v>1.4744531125494877E-2</v>
      </c>
      <c r="R307" s="74">
        <f t="shared" si="88"/>
        <v>1.9713977000643743E-17</v>
      </c>
      <c r="S307" s="74">
        <f t="shared" si="88"/>
        <v>1.4624990523157098E-2</v>
      </c>
      <c r="T307" s="74">
        <f t="shared" si="88"/>
        <v>1.4624990523157098E-2</v>
      </c>
    </row>
    <row r="308" spans="1:20" s="18" customFormat="1" x14ac:dyDescent="0.25">
      <c r="C308" s="80"/>
      <c r="E308" s="19"/>
      <c r="K308" s="19"/>
      <c r="M308" s="19"/>
      <c r="N308" s="19"/>
      <c r="O308" s="19"/>
      <c r="P308" s="19"/>
      <c r="Q308" s="19"/>
      <c r="R308" s="19"/>
      <c r="S308" s="19"/>
      <c r="T308" s="19"/>
    </row>
    <row r="309" spans="1:20" s="18" customFormat="1" x14ac:dyDescent="0.25">
      <c r="C309" s="80"/>
      <c r="E309" s="19"/>
      <c r="K309" s="19"/>
      <c r="M309" s="19"/>
      <c r="N309" s="19"/>
      <c r="O309" s="19"/>
      <c r="P309" s="19"/>
      <c r="Q309" s="19"/>
      <c r="R309" s="19"/>
      <c r="S309" s="19"/>
      <c r="T309" s="19"/>
    </row>
    <row r="310" spans="1:20" s="81" customFormat="1" x14ac:dyDescent="0.25">
      <c r="A310" s="81" t="s">
        <v>111</v>
      </c>
      <c r="C310" s="82" t="s">
        <v>112</v>
      </c>
      <c r="D310" s="81" t="s">
        <v>94</v>
      </c>
      <c r="E310" s="83">
        <v>2.0000000000000001E-4</v>
      </c>
      <c r="J310" s="84"/>
      <c r="K310" s="284">
        <f>dollPerPENNYtotal-dollPerPENNYtotalcogs-dollPerPENNYmrktg-dollPerPENNYoverhead</f>
        <v>8.6736173798840355E-19</v>
      </c>
      <c r="M310" s="284">
        <f t="shared" ref="M310:R310" si="89">dollPerPENNYtotal-dollPerPENNYtotalcogs-dollPerPENNYmrktg-dollPerPENNYoverhead</f>
        <v>4.7748263676261615E-15</v>
      </c>
      <c r="N310" s="284">
        <f t="shared" si="89"/>
        <v>-2.3646883062777846E-14</v>
      </c>
      <c r="O310" s="284">
        <f t="shared" si="89"/>
        <v>-2.6020852139652106E-18</v>
      </c>
      <c r="P310" s="284">
        <f t="shared" si="89"/>
        <v>-2.6020852139652106E-18</v>
      </c>
      <c r="Q310" s="284">
        <f t="shared" si="89"/>
        <v>8.6736173798840355E-19</v>
      </c>
      <c r="R310" s="284">
        <f t="shared" si="89"/>
        <v>-1E-3</v>
      </c>
      <c r="S310" s="284">
        <f>dollPerPENNYtotal-dollPerPENNYtotalcogs-dollPerPENNYmrktg-dollPerPENNYoverhead</f>
        <v>8.6736173798840355E-19</v>
      </c>
      <c r="T310" s="284">
        <f>dollPerPENNYtotal-dollPerPENNYtotalcogs-dollPerPENNYmrktg-dollPerPENNYoverhead</f>
        <v>8.6736173798840355E-19</v>
      </c>
    </row>
    <row r="311" spans="1:20" outlineLevel="1" x14ac:dyDescent="0.25">
      <c r="C311" s="9" t="s">
        <v>113</v>
      </c>
      <c r="D311" s="5" t="s">
        <v>95</v>
      </c>
      <c r="E311" s="45"/>
      <c r="J311" s="1"/>
      <c r="K311" s="69">
        <f>dollPerPENNYprofit*volume</f>
        <v>7.0898148463172106E-9</v>
      </c>
      <c r="M311" s="69">
        <f>dollPerPENNYprofit*totalTHRUPUT</f>
        <v>6.3151888269976378E-5</v>
      </c>
      <c r="N311" s="69">
        <f>dollPerPENNYprofit*totalTHRUPUT</f>
        <v>-3.1275384739407194E-4</v>
      </c>
      <c r="O311" s="69">
        <f>dollPerPENNYprofit*totalTHRUPUT</f>
        <v>-3.4415197967289577E-8</v>
      </c>
      <c r="P311" s="69">
        <f>dollPerPENNYprofit*volume</f>
        <v>-2.1269444538951632E-8</v>
      </c>
      <c r="Q311" s="69">
        <f>dollPerPENNYprofit*volume</f>
        <v>7.0898148463172106E-9</v>
      </c>
      <c r="R311" s="69">
        <f>dollPerPENNYprofit*volume</f>
        <v>-8174000</v>
      </c>
      <c r="S311" s="69">
        <f>dollPerPENNYprofit*volume</f>
        <v>7.0898148463172106E-9</v>
      </c>
      <c r="T311" s="69">
        <f>dollPerPENNYprofit*volume</f>
        <v>7.0898148463172106E-9</v>
      </c>
    </row>
    <row r="312" spans="1:20" outlineLevel="1" x14ac:dyDescent="0.25">
      <c r="C312" s="9"/>
      <c r="D312" s="5" t="s">
        <v>98</v>
      </c>
      <c r="E312" s="45"/>
      <c r="J312" s="1"/>
      <c r="K312" s="85">
        <f>dollPerYEARprofit*100/dollPerYEARtotal</f>
        <v>1.5856446497786839E-15</v>
      </c>
      <c r="M312" s="85">
        <f t="shared" ref="M312:R312" si="90">dollPerYEARprofit*100/dollPerYEARtotal</f>
        <v>-2.0318172668755243E-15</v>
      </c>
      <c r="N312" s="85">
        <f t="shared" si="90"/>
        <v>3.6682906299021814E-15</v>
      </c>
      <c r="O312" s="85">
        <f t="shared" si="90"/>
        <v>-1.181579550073298E-14</v>
      </c>
      <c r="P312" s="85">
        <f t="shared" si="90"/>
        <v>-5.3609641918974813E-15</v>
      </c>
      <c r="Q312" s="85">
        <f t="shared" si="90"/>
        <v>1.5986052678541684E-15</v>
      </c>
      <c r="R312" s="85">
        <f t="shared" si="90"/>
        <v>-2.4642471250804676E-15</v>
      </c>
      <c r="S312" s="85">
        <f>dollPerYEARprofit*100/dollPerYEARtotal</f>
        <v>1.5856446497786839E-15</v>
      </c>
      <c r="T312" s="85">
        <f>dollPerYEARprofit*100/dollPerYEARtotal</f>
        <v>1.5856446497786839E-15</v>
      </c>
    </row>
    <row r="313" spans="1:20" s="18" customFormat="1" x14ac:dyDescent="0.25">
      <c r="C313" s="80"/>
      <c r="E313" s="19"/>
      <c r="K313" s="19"/>
      <c r="M313" s="19"/>
      <c r="N313" s="19"/>
      <c r="O313" s="19"/>
      <c r="P313" s="19"/>
      <c r="Q313" s="19"/>
      <c r="R313" s="19"/>
      <c r="S313" s="19"/>
      <c r="T313" s="19"/>
    </row>
    <row r="314" spans="1:20" s="18" customFormat="1" x14ac:dyDescent="0.25">
      <c r="C314" s="80"/>
      <c r="E314" s="19"/>
      <c r="K314" s="19"/>
      <c r="M314" s="19"/>
      <c r="N314" s="19"/>
      <c r="O314" s="19"/>
      <c r="P314" s="19"/>
      <c r="Q314" s="19"/>
      <c r="R314" s="19"/>
      <c r="S314" s="19"/>
      <c r="T314" s="19"/>
    </row>
    <row r="315" spans="1:20" s="76" customFormat="1" x14ac:dyDescent="0.25">
      <c r="A315" s="76" t="s">
        <v>114</v>
      </c>
      <c r="C315" s="77" t="s">
        <v>115</v>
      </c>
      <c r="D315" s="76" t="s">
        <v>94</v>
      </c>
      <c r="E315" s="78">
        <v>2.0000000000000001E-4</v>
      </c>
      <c r="J315" s="86"/>
      <c r="K315" s="282">
        <f>dollPerPENNYmrktg+dollPerPENNYoverhead+dollPerPENNYprofit</f>
        <v>1.0000000000000009E-3</v>
      </c>
      <c r="M315" s="282">
        <f t="shared" ref="M315:R315" si="91">dollPerPENNYmrktg+dollPerPENNYoverhead+dollPerPENNYprofit</f>
        <v>1.0000000000047748E-3</v>
      </c>
      <c r="N315" s="282">
        <f t="shared" si="91"/>
        <v>9.9999999997635314E-4</v>
      </c>
      <c r="O315" s="282">
        <f t="shared" si="91"/>
        <v>9.9999999999999742E-4</v>
      </c>
      <c r="P315" s="282">
        <f t="shared" si="91"/>
        <v>9.9999999999999742E-4</v>
      </c>
      <c r="Q315" s="282">
        <f t="shared" si="91"/>
        <v>1.0000000000000009E-3</v>
      </c>
      <c r="R315" s="282">
        <f t="shared" si="91"/>
        <v>0</v>
      </c>
      <c r="S315" s="282">
        <f>dollPerPENNYmrktg+dollPerPENNYoverhead+dollPerPENNYprofit</f>
        <v>1.0000000000000009E-3</v>
      </c>
      <c r="T315" s="282">
        <f>dollPerPENNYmrktg+dollPerPENNYoverhead+dollPerPENNYprofit</f>
        <v>1.0000000000000009E-3</v>
      </c>
    </row>
    <row r="316" spans="1:20" outlineLevel="1" x14ac:dyDescent="0.25">
      <c r="C316" s="9" t="s">
        <v>116</v>
      </c>
      <c r="D316" s="5" t="s">
        <v>95</v>
      </c>
      <c r="E316" s="45"/>
      <c r="J316" s="1"/>
      <c r="K316" s="69">
        <f>dollPerPENNYgmargin*volume</f>
        <v>8174000.0000000075</v>
      </c>
      <c r="M316" s="69">
        <f>dollPerPENNYgmargin*totalTHRUPUT</f>
        <v>13226007.273993153</v>
      </c>
      <c r="N316" s="69">
        <f>dollPerPENNYgmargin*totalTHRUPUT</f>
        <v>13226007.273617247</v>
      </c>
      <c r="O316" s="69">
        <f>dollPerPENNYgmargin*totalTHRUPUT</f>
        <v>13226007.273929967</v>
      </c>
      <c r="P316" s="69">
        <f>dollPerPENNYgmargin*volume</f>
        <v>8173999.9999999786</v>
      </c>
      <c r="Q316" s="69">
        <f>dollPerPENNYgmargin*volume</f>
        <v>8174000.0000000075</v>
      </c>
      <c r="R316" s="69">
        <f>dollPerPENNYgmargin*volume</f>
        <v>0</v>
      </c>
      <c r="S316" s="69">
        <f>dollPerPENNYgmargin*volume</f>
        <v>8174000.0000000075</v>
      </c>
      <c r="T316" s="69">
        <f>dollPerPENNYgmargin*volume</f>
        <v>8174000.0000000075</v>
      </c>
    </row>
    <row r="317" spans="1:20" outlineLevel="1" x14ac:dyDescent="0.25">
      <c r="C317" s="9"/>
      <c r="D317" s="5" t="s">
        <v>98</v>
      </c>
      <c r="E317" s="45"/>
      <c r="J317" s="1"/>
      <c r="K317" s="85">
        <f>dollPerYEARgmargin/dollPerYEARtotal</f>
        <v>2.9580106288297131E-2</v>
      </c>
      <c r="M317" s="85">
        <f t="shared" ref="M317:R317" si="92">dollPerYEARgmargin/dollPerYEARtotal</f>
        <v>-3.8891004866343913E-6</v>
      </c>
      <c r="N317" s="85">
        <f t="shared" si="92"/>
        <v>-1.4177900823494375E-6</v>
      </c>
      <c r="O317" s="85">
        <f t="shared" si="92"/>
        <v>4.1501476925706743E-2</v>
      </c>
      <c r="P317" s="85">
        <f t="shared" si="92"/>
        <v>3.0467555904697602E-2</v>
      </c>
      <c r="Q317" s="85">
        <f t="shared" si="92"/>
        <v>0.72218945147979419</v>
      </c>
      <c r="R317" s="85">
        <f t="shared" si="92"/>
        <v>3.6441855668289832E-17</v>
      </c>
      <c r="S317" s="85">
        <f>dollPerYEARgmargin/dollPerYEARtotal</f>
        <v>2.7034717235268874E-2</v>
      </c>
      <c r="T317" s="85">
        <f>dollPerYEARgmargin/dollPerYEARtotal</f>
        <v>0</v>
      </c>
    </row>
    <row r="318" spans="1:20" s="18" customFormat="1" x14ac:dyDescent="0.25">
      <c r="C318" s="80"/>
      <c r="E318" s="19"/>
      <c r="K318" s="19"/>
      <c r="M318" s="19"/>
      <c r="N318" s="19"/>
      <c r="O318" s="19"/>
      <c r="P318" s="19"/>
      <c r="Q318" s="19"/>
      <c r="R318" s="19"/>
      <c r="S318" s="19"/>
      <c r="T318" s="19"/>
    </row>
    <row r="319" spans="1:20" s="18" customFormat="1" x14ac:dyDescent="0.25">
      <c r="C319" s="80"/>
      <c r="E319" s="19"/>
      <c r="K319" s="19"/>
      <c r="M319" s="19"/>
      <c r="N319" s="19"/>
      <c r="O319" s="19"/>
      <c r="P319" s="19"/>
      <c r="Q319" s="19"/>
      <c r="R319" s="19"/>
      <c r="S319" s="19"/>
      <c r="T319" s="19"/>
    </row>
    <row r="320" spans="1:20" s="87" customFormat="1" x14ac:dyDescent="0.25">
      <c r="A320" s="87" t="s">
        <v>117</v>
      </c>
      <c r="C320" s="88" t="s">
        <v>118</v>
      </c>
      <c r="D320" s="87" t="s">
        <v>94</v>
      </c>
      <c r="E320" s="89">
        <f>dollPerPENNYtotalcogs+dollPerPENNYmrktg+dollPerPENNYoverhead</f>
        <v>1.9999999999999997E-2</v>
      </c>
      <c r="F320" s="90"/>
      <c r="G320" s="90"/>
      <c r="H320" s="90"/>
      <c r="I320" s="90"/>
      <c r="J320" s="89">
        <f>dollPerPENNYtotalcogs+dollPerPENNYmrktg+dollPerPENNYoverhead</f>
        <v>1.9999999999999997E-2</v>
      </c>
      <c r="K320" s="288">
        <f>dollPerPENNYtotalcogs+dollPerPENNYoverhead+dollPerPENNYmrktg</f>
        <v>3.38065046235358E-2</v>
      </c>
      <c r="M320" s="288">
        <f t="shared" ref="M320:R320" si="93">dollPerPENNYtotalcogs+dollPerPENNYoverhead+dollPerPENNYmrktg</f>
        <v>-235.0027458408583</v>
      </c>
      <c r="N320" s="288">
        <f t="shared" si="93"/>
        <v>-644.62948682472336</v>
      </c>
      <c r="O320" s="288">
        <f t="shared" si="93"/>
        <v>2.2022090800435681E-2</v>
      </c>
      <c r="P320" s="288">
        <f t="shared" si="93"/>
        <v>2.999746012016619E-2</v>
      </c>
      <c r="Q320" s="288">
        <f t="shared" si="93"/>
        <v>3.3532419955041692E-2</v>
      </c>
      <c r="R320" s="288">
        <f t="shared" si="93"/>
        <v>25079658443556.715</v>
      </c>
      <c r="S320" s="288">
        <f>dollPerPENNYtotalcogs+dollPerPENNYoverhead+dollPerPENNYmrktg</f>
        <v>3.38065046235358E-2</v>
      </c>
      <c r="T320" s="288">
        <f>dollPerPENNYtotalcogs+dollPerPENNYoverhead+dollPerPENNYmrktg</f>
        <v>3.38065046235358E-2</v>
      </c>
    </row>
    <row r="321" spans="1:20" outlineLevel="1" x14ac:dyDescent="0.25">
      <c r="C321" s="5" t="s">
        <v>119</v>
      </c>
      <c r="D321" s="5" t="s">
        <v>95</v>
      </c>
      <c r="E321" s="45">
        <f>dollPerPENNYtotal*totalTHRUPUT</f>
        <v>1824767.9999999998</v>
      </c>
      <c r="F321" s="10"/>
      <c r="G321" s="10"/>
      <c r="H321" s="10"/>
      <c r="I321" s="10"/>
      <c r="J321" s="45">
        <f t="shared" ref="J321:T321" si="94">dollPerPENNYtotal*totalTHRUPUT</f>
        <v>239744687.99999997</v>
      </c>
      <c r="K321" s="217">
        <f t="shared" si="94"/>
        <v>447125076.0570327</v>
      </c>
      <c r="M321" s="217">
        <f t="shared" si="94"/>
        <v>-3108148025884.7148</v>
      </c>
      <c r="N321" s="217">
        <f t="shared" si="94"/>
        <v>-8525874281733.5547</v>
      </c>
      <c r="O321" s="217">
        <f t="shared" si="94"/>
        <v>291264333.11370927</v>
      </c>
      <c r="P321" s="217">
        <f t="shared" si="94"/>
        <v>396746625.74874312</v>
      </c>
      <c r="Q321" s="217">
        <f t="shared" si="94"/>
        <v>443500030.23785692</v>
      </c>
      <c r="R321" s="217">
        <f t="shared" si="94"/>
        <v>3.3170374500216107E+23</v>
      </c>
      <c r="S321" s="217">
        <f t="shared" si="94"/>
        <v>447125076.0570327</v>
      </c>
      <c r="T321" s="217">
        <f t="shared" si="94"/>
        <v>447125076.0570327</v>
      </c>
    </row>
    <row r="322" spans="1:20" outlineLevel="1" x14ac:dyDescent="0.25">
      <c r="D322" s="5" t="s">
        <v>98</v>
      </c>
      <c r="E322" s="45"/>
      <c r="J322" s="1"/>
      <c r="K322" s="92">
        <f>dollPerYEARtotal/dollPerYEARtotal</f>
        <v>1</v>
      </c>
      <c r="M322" s="92">
        <f t="shared" ref="M322:R322" si="95">dollPerYEARtotal/dollPerYEARtotal</f>
        <v>1</v>
      </c>
      <c r="N322" s="92">
        <f t="shared" si="95"/>
        <v>1</v>
      </c>
      <c r="O322" s="92">
        <f t="shared" si="95"/>
        <v>1</v>
      </c>
      <c r="P322" s="92">
        <f t="shared" si="95"/>
        <v>1</v>
      </c>
      <c r="Q322" s="92">
        <f t="shared" si="95"/>
        <v>1</v>
      </c>
      <c r="R322" s="92">
        <f t="shared" si="95"/>
        <v>1</v>
      </c>
      <c r="S322" s="92">
        <f>dollPerYEARtotal/dollPerYEARtotal</f>
        <v>1</v>
      </c>
      <c r="T322" s="92">
        <f>dollPerYEARtotal/dollPerYEARtotal</f>
        <v>1</v>
      </c>
    </row>
    <row r="323" spans="1:20" x14ac:dyDescent="0.25">
      <c r="K323" s="286">
        <f>dollPerPENNYtotal-dollPerPENNYtotalcogs-dollPerPENNYmrktg-dollPerPENNYoverhead</f>
        <v>8.6736173798840355E-19</v>
      </c>
      <c r="M323" s="286">
        <f t="shared" ref="M323:R323" si="96">dollPerPENNYtotal-dollPerPENNYtotalcogs-dollPerPENNYmrktg-dollPerPENNYoverhead</f>
        <v>4.7748263676261615E-15</v>
      </c>
      <c r="N323" s="286">
        <f t="shared" si="96"/>
        <v>-2.3646883062777846E-14</v>
      </c>
      <c r="O323" s="286">
        <f t="shared" si="96"/>
        <v>-2.6020852139652106E-18</v>
      </c>
      <c r="P323" s="286">
        <f t="shared" si="96"/>
        <v>-2.6020852139652106E-18</v>
      </c>
      <c r="Q323" s="286">
        <f t="shared" si="96"/>
        <v>8.6736173798840355E-19</v>
      </c>
      <c r="R323" s="286">
        <f t="shared" si="96"/>
        <v>-1E-3</v>
      </c>
      <c r="S323" s="286">
        <f>dollPerPENNYtotal-dollPerPENNYtotalcogs-dollPerPENNYmrktg-dollPerPENNYoverhead</f>
        <v>8.6736173798840355E-19</v>
      </c>
      <c r="T323" s="286">
        <f>dollPerPENNYtotal-dollPerPENNYtotalcogs-dollPerPENNYmrktg-dollPerPENNYoverhead</f>
        <v>8.6736173798840355E-19</v>
      </c>
    </row>
    <row r="324" spans="1:20" s="18" customFormat="1" x14ac:dyDescent="0.25">
      <c r="E324" s="19"/>
      <c r="K324" s="19"/>
      <c r="M324" s="19"/>
      <c r="N324" s="19"/>
      <c r="O324" s="19"/>
      <c r="P324" s="19"/>
      <c r="Q324" s="19"/>
      <c r="R324" s="19"/>
      <c r="S324" s="19"/>
      <c r="T324" s="19"/>
    </row>
    <row r="325" spans="1:20" s="93" customFormat="1" x14ac:dyDescent="0.25">
      <c r="E325" s="94"/>
      <c r="K325" s="94"/>
      <c r="M325" s="94"/>
      <c r="N325" s="94"/>
      <c r="O325" s="94"/>
      <c r="P325" s="94"/>
      <c r="Q325" s="94"/>
      <c r="R325" s="94"/>
      <c r="S325" s="94"/>
      <c r="T325" s="94"/>
    </row>
    <row r="326" spans="1:20" s="95" customFormat="1" ht="34.5" x14ac:dyDescent="0.25">
      <c r="D326" s="96" t="s">
        <v>120</v>
      </c>
      <c r="E326" s="97"/>
      <c r="K326" s="97"/>
      <c r="M326" s="97"/>
      <c r="N326" s="97"/>
      <c r="O326" s="97"/>
      <c r="P326" s="97"/>
      <c r="Q326" s="97"/>
      <c r="R326" s="97"/>
      <c r="S326" s="97"/>
      <c r="T326" s="97"/>
    </row>
    <row r="327" spans="1:20" s="95" customFormat="1" x14ac:dyDescent="0.25">
      <c r="E327" s="97"/>
      <c r="K327" s="97"/>
      <c r="M327" s="97"/>
      <c r="N327" s="97"/>
      <c r="O327" s="97"/>
      <c r="P327" s="97"/>
      <c r="Q327" s="97"/>
      <c r="R327" s="97"/>
      <c r="S327" s="97"/>
      <c r="T327" s="97"/>
    </row>
    <row r="329" spans="1:20" x14ac:dyDescent="0.25">
      <c r="A329" s="1" t="s">
        <v>121</v>
      </c>
      <c r="B329" s="1"/>
      <c r="C329" s="6" t="s">
        <v>122</v>
      </c>
      <c r="D329" s="98"/>
      <c r="E329" s="45"/>
      <c r="F329" s="1"/>
      <c r="G329" s="1"/>
      <c r="H329" s="1"/>
      <c r="I329" s="1"/>
      <c r="J329" s="1"/>
      <c r="K329" s="99">
        <v>0.21</v>
      </c>
      <c r="M329" s="99">
        <v>0.21</v>
      </c>
      <c r="N329" s="99">
        <v>0.21</v>
      </c>
      <c r="O329" s="99">
        <v>0.21</v>
      </c>
      <c r="P329" s="99">
        <v>0.21</v>
      </c>
      <c r="Q329" s="99">
        <v>0.21</v>
      </c>
      <c r="R329" s="99">
        <v>0.21</v>
      </c>
      <c r="S329" s="99">
        <v>0.21</v>
      </c>
      <c r="T329" s="99">
        <v>0.21</v>
      </c>
    </row>
    <row r="330" spans="1:20" x14ac:dyDescent="0.25">
      <c r="A330" s="1" t="s">
        <v>123</v>
      </c>
      <c r="B330" s="1"/>
      <c r="C330" s="6" t="s">
        <v>124</v>
      </c>
      <c r="D330" s="1"/>
      <c r="E330" s="45"/>
      <c r="F330" s="1"/>
      <c r="G330" s="1"/>
      <c r="H330" s="1"/>
      <c r="I330" s="1"/>
      <c r="J330" s="1"/>
      <c r="K330" s="99">
        <v>0.1</v>
      </c>
      <c r="M330" s="99">
        <v>0.1</v>
      </c>
      <c r="N330" s="99">
        <v>0.1</v>
      </c>
      <c r="O330" s="99">
        <v>0.1</v>
      </c>
      <c r="P330" s="99">
        <v>0.1</v>
      </c>
      <c r="Q330" s="99">
        <v>0.1</v>
      </c>
      <c r="R330" s="99">
        <v>0.1</v>
      </c>
      <c r="S330" s="99">
        <v>0.1</v>
      </c>
      <c r="T330" s="99">
        <v>0.1</v>
      </c>
    </row>
    <row r="331" spans="1:20" x14ac:dyDescent="0.25">
      <c r="C331" s="10" t="s">
        <v>125</v>
      </c>
      <c r="D331" s="2" t="s">
        <v>126</v>
      </c>
      <c r="E331" s="45"/>
      <c r="F331" s="1"/>
      <c r="G331" s="1"/>
      <c r="H331" s="1"/>
      <c r="I331" s="1"/>
      <c r="J331" s="1"/>
      <c r="K331" s="100">
        <f>IRR(K333:K343,(-0.8))</f>
        <v>-0.181125332264922</v>
      </c>
      <c r="M331" s="100" t="e">
        <f t="shared" ref="M331:R331" si="97">IRR(M333:M343,(-0.8))</f>
        <v>#NUM!</v>
      </c>
      <c r="N331" s="100" t="e">
        <f t="shared" si="97"/>
        <v>#NUM!</v>
      </c>
      <c r="O331" s="100">
        <f t="shared" si="97"/>
        <v>-0.19219763310932825</v>
      </c>
      <c r="P331" s="100">
        <f t="shared" si="97"/>
        <v>-0.17814269566608343</v>
      </c>
      <c r="Q331" s="100">
        <f t="shared" si="97"/>
        <v>-0.17928073590418137</v>
      </c>
      <c r="R331" s="100" t="e">
        <f t="shared" si="97"/>
        <v>#NUM!</v>
      </c>
      <c r="S331" s="100">
        <f>IRR(S333:S343,(-0.8))</f>
        <v>-0.16773582569890122</v>
      </c>
      <c r="T331" s="100">
        <f>IRR(T333:T343,(-0.8))</f>
        <v>-0.181125332264922</v>
      </c>
    </row>
    <row r="332" spans="1:20" x14ac:dyDescent="0.25">
      <c r="C332" s="10" t="s">
        <v>127</v>
      </c>
      <c r="D332" s="2" t="s">
        <v>128</v>
      </c>
      <c r="E332" s="45"/>
      <c r="F332" s="1"/>
      <c r="G332" s="1"/>
      <c r="H332" s="1"/>
      <c r="I332" s="1"/>
      <c r="J332" s="1"/>
      <c r="K332" s="101">
        <f>NPV(discrate,K334:K343)+K342</f>
        <v>119168263.18844794</v>
      </c>
      <c r="M332" s="101">
        <f t="shared" ref="M332:R332" si="98">NPV(discrate,M334:M343)+M342</f>
        <v>88296791.327054769</v>
      </c>
      <c r="N332" s="101">
        <f t="shared" si="98"/>
        <v>119168263.1878335</v>
      </c>
      <c r="O332" s="101">
        <f t="shared" si="98"/>
        <v>119168263.18844783</v>
      </c>
      <c r="P332" s="101">
        <f t="shared" si="98"/>
        <v>119168263.18844789</v>
      </c>
      <c r="Q332" s="101">
        <f t="shared" si="98"/>
        <v>119168263.18844794</v>
      </c>
      <c r="R332" s="101">
        <f t="shared" si="98"/>
        <v>101438458.81517564</v>
      </c>
      <c r="S332" s="101">
        <f>NPV(discrate,S334:S343)+S342</f>
        <v>105771117.82692242</v>
      </c>
      <c r="T332" s="101">
        <f>NPV(discrate,T334:T343)+T342</f>
        <v>119168263.18844794</v>
      </c>
    </row>
    <row r="333" spans="1:20" x14ac:dyDescent="0.25">
      <c r="C333" s="10"/>
      <c r="D333" s="1" t="s">
        <v>129</v>
      </c>
      <c r="E333" s="45"/>
      <c r="F333" s="1"/>
      <c r="G333" s="1"/>
      <c r="H333" s="1"/>
      <c r="I333" s="1"/>
      <c r="J333" s="1"/>
      <c r="K333" s="102">
        <f>K351+K369+K387+K405+K421</f>
        <v>-274050130.87249821</v>
      </c>
      <c r="M333" s="102">
        <f t="shared" ref="M333:T343" si="99">M351+M369+M387+M405+M421</f>
        <v>543012024699.086</v>
      </c>
      <c r="N333" s="102">
        <f t="shared" si="99"/>
        <v>1489932166367.531</v>
      </c>
      <c r="O333" s="102">
        <f t="shared" si="99"/>
        <v>-286701382.38790315</v>
      </c>
      <c r="P333" s="102">
        <f t="shared" si="99"/>
        <v>-270798238.28791875</v>
      </c>
      <c r="Q333" s="102">
        <f>Q351+Q369+Q387+Q405+Q421</f>
        <v>-272031489.44722635</v>
      </c>
      <c r="R333" s="102">
        <f>R351+R369+R387+R405+R421</f>
        <v>-2.1411237186712271E+22</v>
      </c>
      <c r="S333" s="102">
        <f>S351+S369+S387+S405+S421</f>
        <v>-236339797.53916487</v>
      </c>
      <c r="T333" s="102">
        <f>T351+T369+T387+T405+T421</f>
        <v>-274050130.87249821</v>
      </c>
    </row>
    <row r="334" spans="1:20" x14ac:dyDescent="0.25">
      <c r="D334" s="1" t="s">
        <v>130</v>
      </c>
      <c r="E334" s="45"/>
      <c r="F334" s="1"/>
      <c r="G334" s="1"/>
      <c r="H334" s="1"/>
      <c r="I334" s="1"/>
      <c r="J334" s="1"/>
      <c r="K334" s="102">
        <f t="shared" ref="K334:K343" si="100">K352+K370+K388+K406+K422</f>
        <v>41089929.04761906</v>
      </c>
      <c r="M334" s="102">
        <f t="shared" si="99"/>
        <v>7131310</v>
      </c>
      <c r="N334" s="102">
        <f t="shared" si="99"/>
        <v>41089929.047371976</v>
      </c>
      <c r="O334" s="102">
        <f t="shared" si="99"/>
        <v>41089929.047619022</v>
      </c>
      <c r="P334" s="102">
        <f t="shared" si="99"/>
        <v>41089929.047619037</v>
      </c>
      <c r="Q334" s="102">
        <f t="shared" si="99"/>
        <v>41089929.04761906</v>
      </c>
      <c r="R334" s="102">
        <f t="shared" si="99"/>
        <v>34056278.571428567</v>
      </c>
      <c r="S334" s="102">
        <f t="shared" si="99"/>
        <v>35702738.571428582</v>
      </c>
      <c r="T334" s="102">
        <f t="shared" si="99"/>
        <v>41089929.04761906</v>
      </c>
    </row>
    <row r="335" spans="1:20" x14ac:dyDescent="0.25">
      <c r="B335" s="10" t="s">
        <v>126</v>
      </c>
      <c r="D335" s="1" t="s">
        <v>131</v>
      </c>
      <c r="E335" s="45"/>
      <c r="F335" s="1"/>
      <c r="G335" s="1"/>
      <c r="H335" s="1"/>
      <c r="I335" s="1"/>
      <c r="J335" s="1"/>
      <c r="K335" s="102">
        <f t="shared" si="100"/>
        <v>41089929.04761906</v>
      </c>
      <c r="M335" s="102">
        <f t="shared" si="99"/>
        <v>41089929.047668941</v>
      </c>
      <c r="N335" s="102">
        <f t="shared" si="99"/>
        <v>41089929.047371976</v>
      </c>
      <c r="O335" s="102">
        <f t="shared" si="99"/>
        <v>41089929.047619022</v>
      </c>
      <c r="P335" s="102">
        <f t="shared" si="99"/>
        <v>41089929.047619037</v>
      </c>
      <c r="Q335" s="102">
        <f t="shared" si="99"/>
        <v>41089929.04761906</v>
      </c>
      <c r="R335" s="102">
        <f t="shared" si="99"/>
        <v>34056278.571428567</v>
      </c>
      <c r="S335" s="102">
        <f t="shared" si="99"/>
        <v>35702738.571428582</v>
      </c>
      <c r="T335" s="102">
        <f t="shared" si="99"/>
        <v>41089929.04761906</v>
      </c>
    </row>
    <row r="336" spans="1:20" x14ac:dyDescent="0.25">
      <c r="B336" s="10" t="s">
        <v>132</v>
      </c>
      <c r="D336" s="1" t="s">
        <v>133</v>
      </c>
      <c r="E336" s="45"/>
      <c r="F336" s="1"/>
      <c r="G336" s="1"/>
      <c r="H336" s="1"/>
      <c r="I336" s="1"/>
      <c r="J336" s="1"/>
      <c r="K336" s="102">
        <f t="shared" si="100"/>
        <v>41089929.04761906</v>
      </c>
      <c r="M336" s="102">
        <f t="shared" si="99"/>
        <v>41089929.047668941</v>
      </c>
      <c r="N336" s="102">
        <f t="shared" si="99"/>
        <v>41089929.047371976</v>
      </c>
      <c r="O336" s="102">
        <f t="shared" si="99"/>
        <v>41089929.047619022</v>
      </c>
      <c r="P336" s="102">
        <f t="shared" si="99"/>
        <v>41089929.047619037</v>
      </c>
      <c r="Q336" s="102">
        <f t="shared" si="99"/>
        <v>41089929.04761906</v>
      </c>
      <c r="R336" s="102">
        <f t="shared" si="99"/>
        <v>34056278.571428567</v>
      </c>
      <c r="S336" s="102">
        <f t="shared" si="99"/>
        <v>35702738.571428582</v>
      </c>
      <c r="T336" s="102">
        <f t="shared" si="99"/>
        <v>41089929.04761906</v>
      </c>
    </row>
    <row r="337" spans="1:20" x14ac:dyDescent="0.25">
      <c r="B337" s="10"/>
      <c r="D337" s="1" t="s">
        <v>134</v>
      </c>
      <c r="E337" s="45"/>
      <c r="F337" s="1"/>
      <c r="G337" s="1"/>
      <c r="H337" s="1"/>
      <c r="I337" s="1"/>
      <c r="J337" s="1"/>
      <c r="K337" s="102">
        <f t="shared" si="100"/>
        <v>7131310</v>
      </c>
      <c r="M337" s="102">
        <f t="shared" si="99"/>
        <v>7131310</v>
      </c>
      <c r="N337" s="102">
        <f t="shared" si="99"/>
        <v>7131310</v>
      </c>
      <c r="O337" s="102">
        <f t="shared" si="99"/>
        <v>7131310</v>
      </c>
      <c r="P337" s="102">
        <f t="shared" si="99"/>
        <v>7131310</v>
      </c>
      <c r="Q337" s="102">
        <f t="shared" si="99"/>
        <v>7131310</v>
      </c>
      <c r="R337" s="102">
        <f t="shared" si="99"/>
        <v>7031310</v>
      </c>
      <c r="S337" s="102">
        <f t="shared" si="99"/>
        <v>7131310</v>
      </c>
      <c r="T337" s="102">
        <f t="shared" si="99"/>
        <v>7131310</v>
      </c>
    </row>
    <row r="338" spans="1:20" x14ac:dyDescent="0.25">
      <c r="B338" s="10"/>
      <c r="D338" s="1" t="s">
        <v>135</v>
      </c>
      <c r="E338" s="45"/>
      <c r="F338" s="1"/>
      <c r="G338" s="1"/>
      <c r="H338" s="1"/>
      <c r="I338" s="1"/>
      <c r="J338" s="1"/>
      <c r="K338" s="102">
        <f t="shared" si="100"/>
        <v>7131310</v>
      </c>
      <c r="M338" s="102">
        <f t="shared" si="99"/>
        <v>7131310</v>
      </c>
      <c r="N338" s="102">
        <f t="shared" si="99"/>
        <v>7131310</v>
      </c>
      <c r="O338" s="102">
        <f t="shared" si="99"/>
        <v>7131310</v>
      </c>
      <c r="P338" s="102">
        <f t="shared" si="99"/>
        <v>7131310</v>
      </c>
      <c r="Q338" s="102">
        <f t="shared" si="99"/>
        <v>7131310</v>
      </c>
      <c r="R338" s="102">
        <f t="shared" si="99"/>
        <v>7031310</v>
      </c>
      <c r="S338" s="102">
        <f t="shared" si="99"/>
        <v>7131310</v>
      </c>
      <c r="T338" s="102">
        <f t="shared" si="99"/>
        <v>7131310</v>
      </c>
    </row>
    <row r="339" spans="1:20" x14ac:dyDescent="0.25">
      <c r="B339" s="10"/>
      <c r="D339" s="1" t="s">
        <v>136</v>
      </c>
      <c r="E339" s="45"/>
      <c r="F339" s="1"/>
      <c r="G339" s="1"/>
      <c r="H339" s="1"/>
      <c r="I339" s="1"/>
      <c r="J339" s="1"/>
      <c r="K339" s="102">
        <f t="shared" si="100"/>
        <v>7131310</v>
      </c>
      <c r="M339" s="102">
        <f t="shared" si="99"/>
        <v>7131310</v>
      </c>
      <c r="N339" s="102">
        <f t="shared" si="99"/>
        <v>7131310</v>
      </c>
      <c r="O339" s="102">
        <f t="shared" si="99"/>
        <v>7131310</v>
      </c>
      <c r="P339" s="102">
        <f t="shared" si="99"/>
        <v>7131310</v>
      </c>
      <c r="Q339" s="102">
        <f t="shared" si="99"/>
        <v>7131310</v>
      </c>
      <c r="R339" s="102">
        <f t="shared" si="99"/>
        <v>7031310</v>
      </c>
      <c r="S339" s="102">
        <f t="shared" si="99"/>
        <v>7131310</v>
      </c>
      <c r="T339" s="102">
        <f t="shared" si="99"/>
        <v>7131310</v>
      </c>
    </row>
    <row r="340" spans="1:20" x14ac:dyDescent="0.25">
      <c r="B340" s="10"/>
      <c r="D340" s="1" t="s">
        <v>137</v>
      </c>
      <c r="E340" s="45"/>
      <c r="F340" s="1"/>
      <c r="G340" s="1"/>
      <c r="H340" s="1"/>
      <c r="I340" s="1"/>
      <c r="J340" s="1"/>
      <c r="K340" s="102">
        <f t="shared" si="100"/>
        <v>7131310</v>
      </c>
      <c r="M340" s="102">
        <f t="shared" si="99"/>
        <v>7131310</v>
      </c>
      <c r="N340" s="102">
        <f t="shared" si="99"/>
        <v>7131310</v>
      </c>
      <c r="O340" s="102">
        <f t="shared" si="99"/>
        <v>7131310</v>
      </c>
      <c r="P340" s="102">
        <f t="shared" si="99"/>
        <v>7131310</v>
      </c>
      <c r="Q340" s="102">
        <f t="shared" si="99"/>
        <v>7131310</v>
      </c>
      <c r="R340" s="102">
        <f t="shared" si="99"/>
        <v>7031310</v>
      </c>
      <c r="S340" s="102">
        <f t="shared" si="99"/>
        <v>7131310</v>
      </c>
      <c r="T340" s="102">
        <f t="shared" si="99"/>
        <v>7131310</v>
      </c>
    </row>
    <row r="341" spans="1:20" x14ac:dyDescent="0.25">
      <c r="B341" s="10" t="s">
        <v>138</v>
      </c>
      <c r="D341" s="1" t="s">
        <v>139</v>
      </c>
      <c r="E341" s="45"/>
      <c r="F341" s="1"/>
      <c r="G341" s="1"/>
      <c r="H341" s="1"/>
      <c r="I341" s="1"/>
      <c r="J341" s="1"/>
      <c r="K341" s="102">
        <f t="shared" si="100"/>
        <v>0</v>
      </c>
      <c r="M341" s="102">
        <f t="shared" si="99"/>
        <v>0</v>
      </c>
      <c r="N341" s="102">
        <f t="shared" si="99"/>
        <v>0</v>
      </c>
      <c r="O341" s="102">
        <f t="shared" si="99"/>
        <v>0</v>
      </c>
      <c r="P341" s="102">
        <f t="shared" si="99"/>
        <v>0</v>
      </c>
      <c r="Q341" s="102">
        <f t="shared" si="99"/>
        <v>0</v>
      </c>
      <c r="R341" s="102">
        <f t="shared" si="99"/>
        <v>0</v>
      </c>
      <c r="S341" s="102">
        <f t="shared" si="99"/>
        <v>0</v>
      </c>
      <c r="T341" s="102">
        <f t="shared" si="99"/>
        <v>0</v>
      </c>
    </row>
    <row r="342" spans="1:20" x14ac:dyDescent="0.25">
      <c r="D342" s="1" t="s">
        <v>140</v>
      </c>
      <c r="E342" s="45"/>
      <c r="F342" s="1"/>
      <c r="G342" s="1"/>
      <c r="H342" s="1"/>
      <c r="I342" s="1"/>
      <c r="J342" s="1"/>
      <c r="K342" s="102">
        <f t="shared" si="100"/>
        <v>0</v>
      </c>
      <c r="M342" s="102">
        <f t="shared" si="99"/>
        <v>0</v>
      </c>
      <c r="N342" s="102">
        <f t="shared" si="99"/>
        <v>0</v>
      </c>
      <c r="O342" s="102">
        <f t="shared" si="99"/>
        <v>0</v>
      </c>
      <c r="P342" s="102">
        <f t="shared" si="99"/>
        <v>0</v>
      </c>
      <c r="Q342" s="102">
        <f t="shared" si="99"/>
        <v>0</v>
      </c>
      <c r="R342" s="102">
        <f t="shared" si="99"/>
        <v>0</v>
      </c>
      <c r="S342" s="102">
        <f t="shared" si="99"/>
        <v>0</v>
      </c>
      <c r="T342" s="102">
        <f t="shared" si="99"/>
        <v>0</v>
      </c>
    </row>
    <row r="343" spans="1:20" x14ac:dyDescent="0.25">
      <c r="D343" s="1" t="s">
        <v>141</v>
      </c>
      <c r="E343" s="45"/>
      <c r="F343" s="1"/>
      <c r="G343" s="1"/>
      <c r="H343" s="1"/>
      <c r="I343" s="1"/>
      <c r="J343" s="1"/>
      <c r="K343" s="102">
        <f t="shared" si="100"/>
        <v>0</v>
      </c>
      <c r="M343" s="102">
        <f t="shared" si="99"/>
        <v>0</v>
      </c>
      <c r="N343" s="102">
        <f t="shared" si="99"/>
        <v>0</v>
      </c>
      <c r="O343" s="102">
        <f t="shared" si="99"/>
        <v>0</v>
      </c>
      <c r="P343" s="102">
        <f t="shared" si="99"/>
        <v>0</v>
      </c>
      <c r="Q343" s="102">
        <f t="shared" si="99"/>
        <v>0</v>
      </c>
      <c r="R343" s="102">
        <f t="shared" si="99"/>
        <v>0</v>
      </c>
      <c r="S343" s="102">
        <f t="shared" si="99"/>
        <v>0</v>
      </c>
      <c r="T343" s="102">
        <f t="shared" si="99"/>
        <v>0</v>
      </c>
    </row>
    <row r="346" spans="1:20" s="21" customFormat="1" x14ac:dyDescent="0.25">
      <c r="A346" s="21" t="s">
        <v>142</v>
      </c>
      <c r="C346" s="103" t="s">
        <v>143</v>
      </c>
      <c r="D346" s="104" t="s">
        <v>144</v>
      </c>
      <c r="E346" s="91"/>
      <c r="F346" s="104"/>
      <c r="G346" s="104"/>
      <c r="H346" s="104"/>
      <c r="I346" s="104"/>
      <c r="J346" s="104"/>
      <c r="K346" s="217">
        <f>numTests*pricePerTESTS</f>
        <v>500000</v>
      </c>
      <c r="M346" s="217">
        <f t="shared" ref="M346:R346" si="101">numTests*pricePerTESTS</f>
        <v>500000</v>
      </c>
      <c r="N346" s="217">
        <f t="shared" si="101"/>
        <v>500000</v>
      </c>
      <c r="O346" s="217">
        <f t="shared" si="101"/>
        <v>500000</v>
      </c>
      <c r="P346" s="217">
        <f t="shared" si="101"/>
        <v>500000</v>
      </c>
      <c r="Q346" s="217">
        <f t="shared" si="101"/>
        <v>500000</v>
      </c>
      <c r="R346" s="217">
        <f t="shared" si="101"/>
        <v>500000</v>
      </c>
      <c r="S346" s="217">
        <f>numTests*pricePerTESTS</f>
        <v>500000</v>
      </c>
      <c r="T346" s="217">
        <f>numTests*pricePerTESTS</f>
        <v>500000</v>
      </c>
    </row>
    <row r="347" spans="1:20" x14ac:dyDescent="0.25">
      <c r="C347" s="6" t="s">
        <v>145</v>
      </c>
      <c r="D347" s="1" t="s">
        <v>146</v>
      </c>
      <c r="E347" s="45"/>
      <c r="F347" s="1"/>
      <c r="G347" s="1"/>
      <c r="H347" s="1"/>
      <c r="I347" s="1"/>
      <c r="J347" s="1"/>
      <c r="K347" s="73">
        <v>10</v>
      </c>
      <c r="M347" s="73">
        <v>10</v>
      </c>
      <c r="N347" s="73">
        <v>10</v>
      </c>
      <c r="O347" s="73">
        <v>10</v>
      </c>
      <c r="P347" s="73">
        <v>10</v>
      </c>
      <c r="Q347" s="73">
        <v>10</v>
      </c>
      <c r="R347" s="73">
        <v>10</v>
      </c>
      <c r="S347" s="73">
        <v>10</v>
      </c>
      <c r="T347" s="73">
        <v>10</v>
      </c>
    </row>
    <row r="348" spans="1:20" x14ac:dyDescent="0.25">
      <c r="C348" s="6" t="s">
        <v>147</v>
      </c>
      <c r="D348" s="1" t="s">
        <v>148</v>
      </c>
      <c r="E348" s="45"/>
      <c r="F348" s="1"/>
      <c r="G348" s="1"/>
      <c r="H348" s="1"/>
      <c r="I348" s="1"/>
      <c r="J348" s="1"/>
      <c r="K348" s="73">
        <v>50000</v>
      </c>
      <c r="M348" s="73">
        <v>50000</v>
      </c>
      <c r="N348" s="73">
        <v>50000</v>
      </c>
      <c r="O348" s="73">
        <v>50000</v>
      </c>
      <c r="P348" s="73">
        <v>50000</v>
      </c>
      <c r="Q348" s="73">
        <v>50000</v>
      </c>
      <c r="R348" s="73">
        <v>50000</v>
      </c>
      <c r="S348" s="73">
        <v>50000</v>
      </c>
      <c r="T348" s="73">
        <v>50000</v>
      </c>
    </row>
    <row r="350" spans="1:20" x14ac:dyDescent="0.25">
      <c r="D350" s="2" t="s">
        <v>128</v>
      </c>
      <c r="E350" s="45"/>
      <c r="F350" s="1"/>
      <c r="G350" s="1"/>
      <c r="H350" s="1"/>
      <c r="I350" s="1"/>
      <c r="J350" s="1"/>
      <c r="K350" s="105">
        <f>NPV(discrate,K352:K361)+K351</f>
        <v>-395000</v>
      </c>
      <c r="M350" s="105">
        <f t="shared" ref="M350:R350" si="102">NPV(discrate,M352:M361)+M351</f>
        <v>-395000</v>
      </c>
      <c r="N350" s="105">
        <f t="shared" si="102"/>
        <v>-395000</v>
      </c>
      <c r="O350" s="105">
        <f t="shared" si="102"/>
        <v>-395000</v>
      </c>
      <c r="P350" s="105">
        <f t="shared" si="102"/>
        <v>-395000</v>
      </c>
      <c r="Q350" s="105">
        <f t="shared" si="102"/>
        <v>-395000</v>
      </c>
      <c r="R350" s="105">
        <f t="shared" si="102"/>
        <v>-395000</v>
      </c>
      <c r="S350" s="105">
        <f>NPV(discrate,S352:S361)+S351</f>
        <v>-395000</v>
      </c>
      <c r="T350" s="105">
        <f>NPV(discrate,T352:T361)+T351</f>
        <v>-395000</v>
      </c>
    </row>
    <row r="351" spans="1:20" x14ac:dyDescent="0.25">
      <c r="B351" s="10" t="s">
        <v>149</v>
      </c>
      <c r="C351" s="10" t="s">
        <v>150</v>
      </c>
      <c r="D351" s="1" t="s">
        <v>129</v>
      </c>
      <c r="E351" s="45"/>
      <c r="F351" s="1"/>
      <c r="G351" s="1"/>
      <c r="H351" s="1"/>
      <c r="I351" s="1"/>
      <c r="J351" s="1"/>
      <c r="K351" s="69">
        <f>-dev_cost*(1-taxrate)</f>
        <v>-395000</v>
      </c>
      <c r="M351" s="69">
        <f t="shared" ref="M351:R351" si="103">-dev_cost*(1-taxrate)</f>
        <v>-395000</v>
      </c>
      <c r="N351" s="69">
        <f t="shared" si="103"/>
        <v>-395000</v>
      </c>
      <c r="O351" s="69">
        <f t="shared" si="103"/>
        <v>-395000</v>
      </c>
      <c r="P351" s="69">
        <f t="shared" si="103"/>
        <v>-395000</v>
      </c>
      <c r="Q351" s="69">
        <f t="shared" si="103"/>
        <v>-395000</v>
      </c>
      <c r="R351" s="69">
        <f t="shared" si="103"/>
        <v>-395000</v>
      </c>
      <c r="S351" s="69">
        <f>-dev_cost*(1-taxrate)</f>
        <v>-395000</v>
      </c>
      <c r="T351" s="69">
        <f>-dev_cost*(1-taxrate)</f>
        <v>-395000</v>
      </c>
    </row>
    <row r="352" spans="1:20" x14ac:dyDescent="0.25">
      <c r="D352" s="1" t="s">
        <v>130</v>
      </c>
      <c r="E352" s="45"/>
      <c r="F352" s="1"/>
      <c r="G352" s="1"/>
      <c r="H352" s="1"/>
      <c r="I352" s="1"/>
      <c r="J352" s="1"/>
      <c r="K352" s="69">
        <v>0</v>
      </c>
      <c r="M352" s="69">
        <v>0</v>
      </c>
      <c r="N352" s="69">
        <v>0</v>
      </c>
      <c r="O352" s="69">
        <v>0</v>
      </c>
      <c r="P352" s="69">
        <v>0</v>
      </c>
      <c r="Q352" s="69">
        <v>0</v>
      </c>
      <c r="R352" s="69">
        <v>0</v>
      </c>
      <c r="S352" s="69">
        <v>0</v>
      </c>
      <c r="T352" s="69">
        <v>0</v>
      </c>
    </row>
    <row r="353" spans="1:20" x14ac:dyDescent="0.25">
      <c r="D353" s="1" t="s">
        <v>131</v>
      </c>
      <c r="E353" s="45"/>
      <c r="F353" s="1"/>
      <c r="G353" s="1"/>
      <c r="H353" s="1"/>
      <c r="I353" s="1"/>
      <c r="J353" s="1"/>
      <c r="K353" s="69">
        <v>0</v>
      </c>
      <c r="M353" s="69">
        <v>0</v>
      </c>
      <c r="N353" s="69">
        <v>0</v>
      </c>
      <c r="O353" s="69">
        <v>0</v>
      </c>
      <c r="P353" s="69">
        <v>0</v>
      </c>
      <c r="Q353" s="69">
        <v>0</v>
      </c>
      <c r="R353" s="69">
        <v>0</v>
      </c>
      <c r="S353" s="69">
        <v>0</v>
      </c>
      <c r="T353" s="69">
        <v>0</v>
      </c>
    </row>
    <row r="354" spans="1:20" x14ac:dyDescent="0.25">
      <c r="D354" s="1" t="s">
        <v>133</v>
      </c>
      <c r="E354" s="45"/>
      <c r="F354" s="1"/>
      <c r="G354" s="1"/>
      <c r="H354" s="1"/>
      <c r="I354" s="1"/>
      <c r="J354" s="1"/>
      <c r="K354" s="69">
        <v>0</v>
      </c>
      <c r="M354" s="69">
        <v>0</v>
      </c>
      <c r="N354" s="69">
        <v>0</v>
      </c>
      <c r="O354" s="69">
        <v>0</v>
      </c>
      <c r="P354" s="69">
        <v>0</v>
      </c>
      <c r="Q354" s="69">
        <v>0</v>
      </c>
      <c r="R354" s="69">
        <v>0</v>
      </c>
      <c r="S354" s="69">
        <v>0</v>
      </c>
      <c r="T354" s="69">
        <v>0</v>
      </c>
    </row>
    <row r="355" spans="1:20" x14ac:dyDescent="0.25">
      <c r="D355" s="1" t="s">
        <v>134</v>
      </c>
      <c r="E355" s="45"/>
      <c r="F355" s="1"/>
      <c r="G355" s="1"/>
      <c r="H355" s="1"/>
      <c r="I355" s="1"/>
      <c r="J355" s="1"/>
      <c r="K355" s="69">
        <v>0</v>
      </c>
      <c r="M355" s="69">
        <v>0</v>
      </c>
      <c r="N355" s="69">
        <v>0</v>
      </c>
      <c r="O355" s="69">
        <v>0</v>
      </c>
      <c r="P355" s="69">
        <v>0</v>
      </c>
      <c r="Q355" s="69">
        <v>0</v>
      </c>
      <c r="R355" s="69">
        <v>0</v>
      </c>
      <c r="S355" s="69">
        <v>0</v>
      </c>
      <c r="T355" s="69">
        <v>0</v>
      </c>
    </row>
    <row r="356" spans="1:20" x14ac:dyDescent="0.25">
      <c r="D356" s="1" t="s">
        <v>135</v>
      </c>
      <c r="E356" s="45"/>
      <c r="F356" s="1"/>
      <c r="G356" s="1"/>
      <c r="H356" s="1"/>
      <c r="I356" s="1"/>
      <c r="J356" s="1"/>
      <c r="K356" s="69">
        <v>0</v>
      </c>
      <c r="M356" s="69">
        <v>0</v>
      </c>
      <c r="N356" s="69">
        <v>0</v>
      </c>
      <c r="O356" s="69">
        <v>0</v>
      </c>
      <c r="P356" s="69">
        <v>0</v>
      </c>
      <c r="Q356" s="69">
        <v>0</v>
      </c>
      <c r="R356" s="69">
        <v>0</v>
      </c>
      <c r="S356" s="69">
        <v>0</v>
      </c>
      <c r="T356" s="69">
        <v>0</v>
      </c>
    </row>
    <row r="357" spans="1:20" x14ac:dyDescent="0.25">
      <c r="D357" s="1" t="s">
        <v>136</v>
      </c>
      <c r="E357" s="45"/>
      <c r="F357" s="1"/>
      <c r="G357" s="1"/>
      <c r="H357" s="1"/>
      <c r="I357" s="1"/>
      <c r="J357" s="1"/>
      <c r="K357" s="69">
        <v>0</v>
      </c>
      <c r="M357" s="69">
        <v>0</v>
      </c>
      <c r="N357" s="69">
        <v>0</v>
      </c>
      <c r="O357" s="69">
        <v>0</v>
      </c>
      <c r="P357" s="69">
        <v>0</v>
      </c>
      <c r="Q357" s="69">
        <v>0</v>
      </c>
      <c r="R357" s="69">
        <v>0</v>
      </c>
      <c r="S357" s="69">
        <v>0</v>
      </c>
      <c r="T357" s="69">
        <v>0</v>
      </c>
    </row>
    <row r="358" spans="1:20" x14ac:dyDescent="0.25">
      <c r="D358" s="1" t="s">
        <v>137</v>
      </c>
      <c r="E358" s="45"/>
      <c r="F358" s="1"/>
      <c r="G358" s="1"/>
      <c r="H358" s="1"/>
      <c r="I358" s="1"/>
      <c r="J358" s="1"/>
      <c r="K358" s="69">
        <v>0</v>
      </c>
      <c r="M358" s="69">
        <v>0</v>
      </c>
      <c r="N358" s="69">
        <v>0</v>
      </c>
      <c r="O358" s="69">
        <v>0</v>
      </c>
      <c r="P358" s="69">
        <v>0</v>
      </c>
      <c r="Q358" s="69">
        <v>0</v>
      </c>
      <c r="R358" s="69">
        <v>0</v>
      </c>
      <c r="S358" s="69">
        <v>0</v>
      </c>
      <c r="T358" s="69">
        <v>0</v>
      </c>
    </row>
    <row r="359" spans="1:20" x14ac:dyDescent="0.25">
      <c r="D359" s="1" t="s">
        <v>139</v>
      </c>
      <c r="E359" s="45"/>
      <c r="F359" s="1"/>
      <c r="G359" s="1"/>
      <c r="H359" s="1"/>
      <c r="I359" s="1"/>
      <c r="J359" s="1"/>
      <c r="K359" s="69">
        <v>0</v>
      </c>
      <c r="M359" s="69">
        <v>0</v>
      </c>
      <c r="N359" s="69">
        <v>0</v>
      </c>
      <c r="O359" s="69">
        <v>0</v>
      </c>
      <c r="P359" s="69">
        <v>0</v>
      </c>
      <c r="Q359" s="69">
        <v>0</v>
      </c>
      <c r="R359" s="69">
        <v>0</v>
      </c>
      <c r="S359" s="69">
        <v>0</v>
      </c>
      <c r="T359" s="69">
        <v>0</v>
      </c>
    </row>
    <row r="360" spans="1:20" x14ac:dyDescent="0.25">
      <c r="D360" s="1" t="s">
        <v>140</v>
      </c>
      <c r="E360" s="45"/>
      <c r="F360" s="1"/>
      <c r="G360" s="1"/>
      <c r="H360" s="1"/>
      <c r="I360" s="1"/>
      <c r="J360" s="1"/>
      <c r="K360" s="69">
        <v>0</v>
      </c>
      <c r="M360" s="69">
        <v>0</v>
      </c>
      <c r="N360" s="69">
        <v>0</v>
      </c>
      <c r="O360" s="69">
        <v>0</v>
      </c>
      <c r="P360" s="69">
        <v>0</v>
      </c>
      <c r="Q360" s="69">
        <v>0</v>
      </c>
      <c r="R360" s="69">
        <v>0</v>
      </c>
      <c r="S360" s="69">
        <v>0</v>
      </c>
      <c r="T360" s="69">
        <v>0</v>
      </c>
    </row>
    <row r="361" spans="1:20" x14ac:dyDescent="0.25">
      <c r="D361" s="1" t="s">
        <v>141</v>
      </c>
      <c r="E361" s="45"/>
      <c r="F361" s="1"/>
      <c r="G361" s="1"/>
      <c r="H361" s="1"/>
      <c r="I361" s="1"/>
      <c r="J361" s="1"/>
      <c r="K361" s="69">
        <v>0</v>
      </c>
      <c r="M361" s="69">
        <v>0</v>
      </c>
      <c r="N361" s="69">
        <v>0</v>
      </c>
      <c r="O361" s="69">
        <v>0</v>
      </c>
      <c r="P361" s="69">
        <v>0</v>
      </c>
      <c r="Q361" s="69">
        <v>0</v>
      </c>
      <c r="R361" s="69">
        <v>0</v>
      </c>
      <c r="S361" s="69">
        <v>0</v>
      </c>
      <c r="T361" s="69">
        <v>0</v>
      </c>
    </row>
    <row r="363" spans="1:20" s="21" customFormat="1" x14ac:dyDescent="0.25">
      <c r="A363" s="21" t="s">
        <v>151</v>
      </c>
      <c r="C363" s="103" t="s">
        <v>152</v>
      </c>
      <c r="D363" s="104" t="s">
        <v>153</v>
      </c>
      <c r="E363" s="91"/>
      <c r="F363" s="104"/>
      <c r="G363" s="104"/>
      <c r="H363" s="104"/>
      <c r="I363" s="104"/>
      <c r="J363" s="104"/>
      <c r="K363" s="217">
        <f>numCoins*pricePerPennyInventory</f>
        <v>10046741.780821919</v>
      </c>
      <c r="M363" s="217">
        <f t="shared" ref="M363:R363" si="104">numCoins*pricePerPennyInventory</f>
        <v>-433696918868.64954</v>
      </c>
      <c r="N363" s="217">
        <f t="shared" si="104"/>
        <v>-1189658722010.3479</v>
      </c>
      <c r="O363" s="217">
        <f t="shared" si="104"/>
        <v>38796045.466015704</v>
      </c>
      <c r="P363" s="217">
        <f t="shared" si="104"/>
        <v>10046741.780821919</v>
      </c>
      <c r="Q363" s="217">
        <f t="shared" si="104"/>
        <v>7787694.5205479451</v>
      </c>
      <c r="R363" s="217">
        <f t="shared" si="104"/>
        <v>10046741.780821919</v>
      </c>
      <c r="S363" s="217">
        <f>numCoins*pricePerPennyInventory</f>
        <v>10046741.780821919</v>
      </c>
      <c r="T363" s="217">
        <f>numCoins*pricePerPennyInventory</f>
        <v>10046741.780821919</v>
      </c>
    </row>
    <row r="364" spans="1:20" x14ac:dyDescent="0.25">
      <c r="C364" s="6" t="s">
        <v>154</v>
      </c>
      <c r="D364" s="1" t="s">
        <v>155</v>
      </c>
      <c r="E364" s="45"/>
      <c r="F364" s="1"/>
      <c r="G364" s="1"/>
      <c r="H364" s="1"/>
      <c r="I364" s="1"/>
      <c r="J364" s="1"/>
      <c r="K364" s="73">
        <f>365/numREPEAT*6</f>
        <v>52.142857142857139</v>
      </c>
      <c r="M364" s="73">
        <f t="shared" ref="M364:R364" si="105">365/numREPEAT*6</f>
        <v>52.142857142857139</v>
      </c>
      <c r="N364" s="73">
        <f t="shared" si="105"/>
        <v>52.142857142857139</v>
      </c>
      <c r="O364" s="73">
        <f t="shared" si="105"/>
        <v>52.142857142857139</v>
      </c>
      <c r="P364" s="73">
        <f t="shared" si="105"/>
        <v>52.142857142857139</v>
      </c>
      <c r="Q364" s="73">
        <f t="shared" si="105"/>
        <v>52.142857142857139</v>
      </c>
      <c r="R364" s="73">
        <f t="shared" si="105"/>
        <v>52.142857142857139</v>
      </c>
      <c r="S364" s="73">
        <f>365/numREPEAT*6</f>
        <v>52.142857142857139</v>
      </c>
      <c r="T364" s="73">
        <f>365/numREPEAT*6</f>
        <v>52.142857142857139</v>
      </c>
    </row>
    <row r="365" spans="1:20" x14ac:dyDescent="0.25">
      <c r="A365" s="5" t="s">
        <v>626</v>
      </c>
      <c r="C365" s="6" t="s">
        <v>156</v>
      </c>
      <c r="D365" s="1" t="s">
        <v>157</v>
      </c>
      <c r="E365" s="45"/>
      <c r="F365" s="1"/>
      <c r="G365" s="1"/>
      <c r="H365" s="1"/>
      <c r="I365" s="1"/>
      <c r="J365" s="1"/>
      <c r="K365" s="73">
        <f>volume</f>
        <v>8174000000</v>
      </c>
      <c r="M365" s="73">
        <f>volREPEAT*daysOfCoverage/365</f>
        <v>1845489387.0599997</v>
      </c>
      <c r="N365" s="73">
        <f>volREPEAT*daysOfCoverage/365</f>
        <v>1845489387.0599997</v>
      </c>
      <c r="O365" s="73">
        <f>volREPEAT*daysOfCoverage/365</f>
        <v>1845489387.0599997</v>
      </c>
      <c r="P365" s="73">
        <f>volume</f>
        <v>8174000000</v>
      </c>
      <c r="Q365" s="73">
        <f>volume</f>
        <v>8174000000</v>
      </c>
      <c r="R365" s="73">
        <f>volume</f>
        <v>8174000000</v>
      </c>
      <c r="S365" s="73">
        <f>volume</f>
        <v>8174000000</v>
      </c>
      <c r="T365" s="73">
        <f>volume</f>
        <v>8174000000</v>
      </c>
    </row>
    <row r="366" spans="1:20" x14ac:dyDescent="0.25">
      <c r="A366" s="5" t="s">
        <v>625</v>
      </c>
      <c r="C366" s="6" t="s">
        <v>158</v>
      </c>
      <c r="D366" s="1" t="s">
        <v>159</v>
      </c>
      <c r="E366" s="45"/>
      <c r="F366" s="1"/>
      <c r="G366" s="1"/>
      <c r="H366" s="1"/>
      <c r="I366" s="1"/>
      <c r="J366" s="1"/>
      <c r="K366" s="106">
        <f>warehouse</f>
        <v>1.229109589041096E-3</v>
      </c>
      <c r="M366" s="106">
        <f>dollPerPENNYtotalcogs</f>
        <v>-235.0037458408583</v>
      </c>
      <c r="N366" s="106">
        <f>dollPerPENNYtotalcogs</f>
        <v>-644.63048682472333</v>
      </c>
      <c r="O366" s="106">
        <f>dollPerPENNYtotalcogs</f>
        <v>2.1022090800435683E-2</v>
      </c>
      <c r="P366" s="106">
        <f>warehouse</f>
        <v>1.229109589041096E-3</v>
      </c>
      <c r="Q366" s="106">
        <f>warehouse</f>
        <v>9.5273972602739725E-4</v>
      </c>
      <c r="R366" s="106">
        <f>warehouse</f>
        <v>1.229109589041096E-3</v>
      </c>
      <c r="S366" s="106">
        <f>warehouse</f>
        <v>1.229109589041096E-3</v>
      </c>
      <c r="T366" s="106">
        <f>warehouse</f>
        <v>1.229109589041096E-3</v>
      </c>
    </row>
    <row r="368" spans="1:20" x14ac:dyDescent="0.25">
      <c r="D368" s="2" t="s">
        <v>128</v>
      </c>
      <c r="E368" s="45"/>
      <c r="F368" s="1"/>
      <c r="G368" s="1"/>
      <c r="H368" s="1"/>
      <c r="I368" s="1"/>
      <c r="J368" s="1"/>
      <c r="K368" s="105">
        <f>NPV(discrate,K370:K379)+K369</f>
        <v>-7936926.0068493169</v>
      </c>
      <c r="M368" s="105">
        <f t="shared" ref="M368:R368" si="106">NPV(discrate,M370:M379)+M369</f>
        <v>342620565906.23315</v>
      </c>
      <c r="N368" s="105">
        <f t="shared" si="106"/>
        <v>939830390388.17493</v>
      </c>
      <c r="O368" s="105">
        <f t="shared" si="106"/>
        <v>-30648875.918152407</v>
      </c>
      <c r="P368" s="105">
        <f t="shared" si="106"/>
        <v>-7936926.0068493169</v>
      </c>
      <c r="Q368" s="105">
        <f t="shared" si="106"/>
        <v>-6152278.6712328773</v>
      </c>
      <c r="R368" s="105">
        <f t="shared" si="106"/>
        <v>-7936926.0068493169</v>
      </c>
      <c r="S368" s="105">
        <f>NPV(discrate,S370:S379)+S369</f>
        <v>-7936926.0068493169</v>
      </c>
      <c r="T368" s="105">
        <f>NPV(discrate,T370:T379)+T369</f>
        <v>-7936926.0068493169</v>
      </c>
    </row>
    <row r="369" spans="1:20" x14ac:dyDescent="0.25">
      <c r="D369" s="1" t="s">
        <v>129</v>
      </c>
      <c r="E369" s="45"/>
      <c r="F369" s="1"/>
      <c r="G369" s="1"/>
      <c r="H369" s="1"/>
      <c r="I369" s="1"/>
      <c r="J369" s="1"/>
      <c r="K369" s="69">
        <f>-init_inv*(1-taxrate)</f>
        <v>-7936926.0068493169</v>
      </c>
      <c r="M369" s="69">
        <f t="shared" ref="M369:R369" si="107">-init_inv*(1-taxrate)</f>
        <v>342620565906.23315</v>
      </c>
      <c r="N369" s="69">
        <f t="shared" si="107"/>
        <v>939830390388.17493</v>
      </c>
      <c r="O369" s="69">
        <f t="shared" si="107"/>
        <v>-30648875.918152407</v>
      </c>
      <c r="P369" s="69">
        <f t="shared" si="107"/>
        <v>-7936926.0068493169</v>
      </c>
      <c r="Q369" s="69">
        <f t="shared" si="107"/>
        <v>-6152278.6712328773</v>
      </c>
      <c r="R369" s="69">
        <f t="shared" si="107"/>
        <v>-7936926.0068493169</v>
      </c>
      <c r="S369" s="69">
        <f>-init_inv*(1-taxrate)</f>
        <v>-7936926.0068493169</v>
      </c>
      <c r="T369" s="69">
        <f>-init_inv*(1-taxrate)</f>
        <v>-7936926.0068493169</v>
      </c>
    </row>
    <row r="370" spans="1:20" x14ac:dyDescent="0.25">
      <c r="D370" s="1" t="s">
        <v>130</v>
      </c>
      <c r="E370" s="45"/>
      <c r="F370" s="1"/>
      <c r="G370" s="1"/>
      <c r="H370" s="1"/>
      <c r="I370" s="1"/>
      <c r="J370" s="1"/>
      <c r="K370" s="69">
        <v>0</v>
      </c>
      <c r="M370" s="69">
        <v>0</v>
      </c>
      <c r="N370" s="69">
        <v>0</v>
      </c>
      <c r="O370" s="69">
        <v>0</v>
      </c>
      <c r="P370" s="69">
        <v>0</v>
      </c>
      <c r="Q370" s="69">
        <v>0</v>
      </c>
      <c r="R370" s="69">
        <v>0</v>
      </c>
      <c r="S370" s="69">
        <v>0</v>
      </c>
      <c r="T370" s="69">
        <v>0</v>
      </c>
    </row>
    <row r="371" spans="1:20" x14ac:dyDescent="0.25">
      <c r="D371" s="1" t="s">
        <v>131</v>
      </c>
      <c r="E371" s="45"/>
      <c r="F371" s="1"/>
      <c r="G371" s="1"/>
      <c r="H371" s="1"/>
      <c r="I371" s="1"/>
      <c r="J371" s="1"/>
      <c r="K371" s="69">
        <v>0</v>
      </c>
      <c r="M371" s="69">
        <v>0</v>
      </c>
      <c r="N371" s="69">
        <v>0</v>
      </c>
      <c r="O371" s="69">
        <v>0</v>
      </c>
      <c r="P371" s="69">
        <v>0</v>
      </c>
      <c r="Q371" s="69">
        <v>0</v>
      </c>
      <c r="R371" s="69">
        <v>0</v>
      </c>
      <c r="S371" s="69">
        <v>0</v>
      </c>
      <c r="T371" s="69">
        <v>0</v>
      </c>
    </row>
    <row r="372" spans="1:20" x14ac:dyDescent="0.25">
      <c r="D372" s="1" t="s">
        <v>133</v>
      </c>
      <c r="E372" s="45"/>
      <c r="F372" s="1"/>
      <c r="G372" s="1"/>
      <c r="H372" s="1"/>
      <c r="I372" s="1"/>
      <c r="J372" s="1"/>
      <c r="K372" s="69">
        <v>0</v>
      </c>
      <c r="M372" s="69">
        <v>0</v>
      </c>
      <c r="N372" s="69">
        <v>0</v>
      </c>
      <c r="O372" s="69">
        <v>0</v>
      </c>
      <c r="P372" s="69">
        <v>0</v>
      </c>
      <c r="Q372" s="69">
        <v>0</v>
      </c>
      <c r="R372" s="69">
        <v>0</v>
      </c>
      <c r="S372" s="69">
        <v>0</v>
      </c>
      <c r="T372" s="69">
        <v>0</v>
      </c>
    </row>
    <row r="373" spans="1:20" x14ac:dyDescent="0.25">
      <c r="D373" s="1" t="s">
        <v>134</v>
      </c>
      <c r="E373" s="45"/>
      <c r="F373" s="1"/>
      <c r="G373" s="1"/>
      <c r="H373" s="1"/>
      <c r="I373" s="1"/>
      <c r="J373" s="1"/>
      <c r="K373" s="69">
        <v>0</v>
      </c>
      <c r="M373" s="69">
        <v>0</v>
      </c>
      <c r="N373" s="69">
        <v>0</v>
      </c>
      <c r="O373" s="69">
        <v>0</v>
      </c>
      <c r="P373" s="69">
        <v>0</v>
      </c>
      <c r="Q373" s="69">
        <v>0</v>
      </c>
      <c r="R373" s="69">
        <v>0</v>
      </c>
      <c r="S373" s="69">
        <v>0</v>
      </c>
      <c r="T373" s="69">
        <v>0</v>
      </c>
    </row>
    <row r="374" spans="1:20" x14ac:dyDescent="0.25">
      <c r="D374" s="1" t="s">
        <v>135</v>
      </c>
      <c r="E374" s="45"/>
      <c r="F374" s="1"/>
      <c r="G374" s="1"/>
      <c r="H374" s="1"/>
      <c r="I374" s="1"/>
      <c r="J374" s="1"/>
      <c r="K374" s="69">
        <v>0</v>
      </c>
      <c r="M374" s="69">
        <v>0</v>
      </c>
      <c r="N374" s="69">
        <v>0</v>
      </c>
      <c r="O374" s="69">
        <v>0</v>
      </c>
      <c r="P374" s="69">
        <v>0</v>
      </c>
      <c r="Q374" s="69">
        <v>0</v>
      </c>
      <c r="R374" s="69">
        <v>0</v>
      </c>
      <c r="S374" s="69">
        <v>0</v>
      </c>
      <c r="T374" s="69">
        <v>0</v>
      </c>
    </row>
    <row r="375" spans="1:20" x14ac:dyDescent="0.25">
      <c r="D375" s="1" t="s">
        <v>136</v>
      </c>
      <c r="E375" s="45"/>
      <c r="F375" s="1"/>
      <c r="G375" s="1"/>
      <c r="H375" s="1"/>
      <c r="I375" s="1"/>
      <c r="J375" s="1"/>
      <c r="K375" s="69">
        <v>0</v>
      </c>
      <c r="M375" s="69">
        <v>0</v>
      </c>
      <c r="N375" s="69">
        <v>0</v>
      </c>
      <c r="O375" s="69">
        <v>0</v>
      </c>
      <c r="P375" s="69">
        <v>0</v>
      </c>
      <c r="Q375" s="69">
        <v>0</v>
      </c>
      <c r="R375" s="69">
        <v>0</v>
      </c>
      <c r="S375" s="69">
        <v>0</v>
      </c>
      <c r="T375" s="69">
        <v>0</v>
      </c>
    </row>
    <row r="376" spans="1:20" x14ac:dyDescent="0.25">
      <c r="D376" s="1" t="s">
        <v>137</v>
      </c>
      <c r="E376" s="45"/>
      <c r="F376" s="1"/>
      <c r="G376" s="1"/>
      <c r="H376" s="1"/>
      <c r="I376" s="1"/>
      <c r="J376" s="1"/>
      <c r="K376" s="69">
        <v>0</v>
      </c>
      <c r="M376" s="69">
        <v>0</v>
      </c>
      <c r="N376" s="69">
        <v>0</v>
      </c>
      <c r="O376" s="69">
        <v>0</v>
      </c>
      <c r="P376" s="69">
        <v>0</v>
      </c>
      <c r="Q376" s="69">
        <v>0</v>
      </c>
      <c r="R376" s="69">
        <v>0</v>
      </c>
      <c r="S376" s="69">
        <v>0</v>
      </c>
      <c r="T376" s="69">
        <v>0</v>
      </c>
    </row>
    <row r="377" spans="1:20" x14ac:dyDescent="0.25">
      <c r="D377" s="1" t="s">
        <v>139</v>
      </c>
      <c r="E377" s="45"/>
      <c r="F377" s="1"/>
      <c r="G377" s="1"/>
      <c r="H377" s="1"/>
      <c r="I377" s="1"/>
      <c r="J377" s="1"/>
      <c r="K377" s="69">
        <v>0</v>
      </c>
      <c r="M377" s="69">
        <v>0</v>
      </c>
      <c r="N377" s="69">
        <v>0</v>
      </c>
      <c r="O377" s="69">
        <v>0</v>
      </c>
      <c r="P377" s="69">
        <v>0</v>
      </c>
      <c r="Q377" s="69">
        <v>0</v>
      </c>
      <c r="R377" s="69">
        <v>0</v>
      </c>
      <c r="S377" s="69">
        <v>0</v>
      </c>
      <c r="T377" s="69">
        <v>0</v>
      </c>
    </row>
    <row r="378" spans="1:20" x14ac:dyDescent="0.25">
      <c r="D378" s="1" t="s">
        <v>140</v>
      </c>
      <c r="E378" s="45"/>
      <c r="F378" s="1"/>
      <c r="G378" s="1"/>
      <c r="H378" s="1"/>
      <c r="I378" s="1"/>
      <c r="J378" s="1"/>
      <c r="K378" s="69">
        <v>0</v>
      </c>
      <c r="M378" s="69">
        <v>0</v>
      </c>
      <c r="N378" s="69">
        <v>0</v>
      </c>
      <c r="O378" s="69">
        <v>0</v>
      </c>
      <c r="P378" s="69">
        <v>0</v>
      </c>
      <c r="Q378" s="69">
        <v>0</v>
      </c>
      <c r="R378" s="69">
        <v>0</v>
      </c>
      <c r="S378" s="69">
        <v>0</v>
      </c>
      <c r="T378" s="69">
        <v>0</v>
      </c>
    </row>
    <row r="379" spans="1:20" x14ac:dyDescent="0.25">
      <c r="D379" s="1" t="s">
        <v>141</v>
      </c>
      <c r="E379" s="45"/>
      <c r="F379" s="1"/>
      <c r="G379" s="1"/>
      <c r="H379" s="1"/>
      <c r="I379" s="1"/>
      <c r="J379" s="1"/>
      <c r="K379" s="69">
        <v>0</v>
      </c>
      <c r="M379" s="69">
        <v>0</v>
      </c>
      <c r="N379" s="69">
        <v>0</v>
      </c>
      <c r="O379" s="69">
        <v>0</v>
      </c>
      <c r="P379" s="69">
        <v>0</v>
      </c>
      <c r="Q379" s="69">
        <v>0</v>
      </c>
      <c r="R379" s="69">
        <v>0</v>
      </c>
      <c r="S379" s="69">
        <v>0</v>
      </c>
      <c r="T379" s="69">
        <v>0</v>
      </c>
    </row>
    <row r="381" spans="1:20" s="21" customFormat="1" x14ac:dyDescent="0.25">
      <c r="A381" s="21" t="s">
        <v>160</v>
      </c>
      <c r="C381" s="103" t="s">
        <v>161</v>
      </c>
      <c r="D381" s="104" t="s">
        <v>153</v>
      </c>
      <c r="E381" s="91"/>
      <c r="F381" s="104"/>
      <c r="G381" s="104"/>
      <c r="H381" s="104"/>
      <c r="I381" s="104"/>
      <c r="J381" s="104"/>
      <c r="K381" s="217">
        <f>totalIncrementScrap*pricePerPennyScrap</f>
        <v>35453001.939639948</v>
      </c>
      <c r="M381" s="217">
        <f t="shared" ref="M381:R381" si="108">totalIncrementScrap*pricePerPennyScrap</f>
        <v>-253961473577.45078</v>
      </c>
      <c r="N381" s="217">
        <f t="shared" si="108"/>
        <v>-696632761155.3031</v>
      </c>
      <c r="O381" s="217">
        <f t="shared" si="108"/>
        <v>22717940.679009385</v>
      </c>
      <c r="P381" s="217">
        <f t="shared" si="108"/>
        <v>31336682.212324146</v>
      </c>
      <c r="Q381" s="217">
        <f t="shared" si="108"/>
        <v>35156806.889443226</v>
      </c>
      <c r="R381" s="217">
        <f t="shared" si="108"/>
        <v>2.7102831881913958E+22</v>
      </c>
      <c r="S381" s="217">
        <f>totalIncrementScrap*pricePerPennyScrap</f>
        <v>35453001.939639948</v>
      </c>
      <c r="T381" s="217">
        <f>totalIncrementScrap*pricePerPennyScrap</f>
        <v>35453001.939639948</v>
      </c>
    </row>
    <row r="382" spans="1:20" x14ac:dyDescent="0.25">
      <c r="C382" s="6" t="s">
        <v>162</v>
      </c>
      <c r="D382" s="1" t="s">
        <v>163</v>
      </c>
      <c r="E382" s="45"/>
      <c r="F382" s="1"/>
      <c r="G382" s="1"/>
      <c r="H382" s="1"/>
      <c r="I382" s="1"/>
      <c r="J382" s="1"/>
      <c r="K382" s="73">
        <v>30</v>
      </c>
      <c r="M382" s="73">
        <v>30</v>
      </c>
      <c r="N382" s="73">
        <v>30</v>
      </c>
      <c r="O382" s="73">
        <v>30</v>
      </c>
      <c r="P382" s="73">
        <v>30</v>
      </c>
      <c r="Q382" s="73">
        <v>30</v>
      </c>
      <c r="R382" s="73">
        <v>30</v>
      </c>
      <c r="S382" s="73">
        <v>30</v>
      </c>
      <c r="T382" s="73">
        <v>30</v>
      </c>
    </row>
    <row r="383" spans="1:20" x14ac:dyDescent="0.25">
      <c r="C383" s="6" t="s">
        <v>465</v>
      </c>
      <c r="D383" s="1" t="s">
        <v>164</v>
      </c>
      <c r="E383" s="45"/>
      <c r="F383" s="1"/>
      <c r="G383" s="1"/>
      <c r="H383" s="1"/>
      <c r="I383" s="1"/>
      <c r="J383" s="1"/>
      <c r="K383" s="73">
        <v>1080669896</v>
      </c>
      <c r="M383" s="73">
        <v>1080669896</v>
      </c>
      <c r="N383" s="73">
        <v>1080669896</v>
      </c>
      <c r="O383" s="73">
        <v>1080669896</v>
      </c>
      <c r="P383" s="73">
        <v>1080669896</v>
      </c>
      <c r="Q383" s="73">
        <v>1080669896</v>
      </c>
      <c r="R383" s="73">
        <v>1080669896</v>
      </c>
      <c r="S383" s="73">
        <v>1080669896</v>
      </c>
      <c r="T383" s="73">
        <v>1080669896</v>
      </c>
    </row>
    <row r="384" spans="1:20" x14ac:dyDescent="0.25">
      <c r="C384" s="6" t="s">
        <v>165</v>
      </c>
      <c r="D384" s="1" t="s">
        <v>159</v>
      </c>
      <c r="E384" s="45"/>
      <c r="F384" s="1"/>
      <c r="G384" s="1"/>
      <c r="H384" s="1"/>
      <c r="I384" s="1"/>
      <c r="J384" s="1"/>
      <c r="K384" s="106">
        <f>dollPerPENNYtotalcogs</f>
        <v>3.28065046235358E-2</v>
      </c>
      <c r="M384" s="106">
        <f t="shared" ref="M384:R384" si="109">dollPerPENNYtotalcogs</f>
        <v>-235.0037458408583</v>
      </c>
      <c r="N384" s="106">
        <f t="shared" si="109"/>
        <v>-644.63048682472333</v>
      </c>
      <c r="O384" s="106">
        <f t="shared" si="109"/>
        <v>2.1022090800435683E-2</v>
      </c>
      <c r="P384" s="106">
        <f t="shared" si="109"/>
        <v>2.8997460120166192E-2</v>
      </c>
      <c r="Q384" s="106">
        <f t="shared" si="109"/>
        <v>3.2532419955041691E-2</v>
      </c>
      <c r="R384" s="106">
        <f t="shared" si="109"/>
        <v>25079658443556.715</v>
      </c>
      <c r="S384" s="106">
        <f>dollPerPENNYtotalcogs</f>
        <v>3.28065046235358E-2</v>
      </c>
      <c r="T384" s="106">
        <f>dollPerPENNYtotalcogs</f>
        <v>3.28065046235358E-2</v>
      </c>
    </row>
    <row r="386" spans="1:20" x14ac:dyDescent="0.25">
      <c r="D386" s="2" t="s">
        <v>128</v>
      </c>
      <c r="E386" s="45"/>
      <c r="F386" s="1"/>
      <c r="G386" s="1"/>
      <c r="H386" s="1"/>
      <c r="I386" s="1"/>
      <c r="J386" s="1"/>
      <c r="K386" s="105">
        <f>NPV(discrate, K388:K397) + K387</f>
        <v>-28007871.53231556</v>
      </c>
      <c r="M386" s="105">
        <f t="shared" ref="M386:R386" si="110">NPV(discrate, M388:M397) + M387</f>
        <v>200629564126.18613</v>
      </c>
      <c r="N386" s="105">
        <f t="shared" si="110"/>
        <v>550339881312.68945</v>
      </c>
      <c r="O386" s="105">
        <f t="shared" si="110"/>
        <v>-17947173.136417415</v>
      </c>
      <c r="P386" s="105">
        <f t="shared" si="110"/>
        <v>-24755978.947736077</v>
      </c>
      <c r="Q386" s="105">
        <f t="shared" si="110"/>
        <v>-27773877.442660149</v>
      </c>
      <c r="R386" s="105">
        <f t="shared" si="110"/>
        <v>-2.1411237186712027E+22</v>
      </c>
      <c r="S386" s="105">
        <f>NPV(discrate, S388:S397) + S387</f>
        <v>-28007871.53231556</v>
      </c>
      <c r="T386" s="105">
        <f>NPV(discrate, T388:T397) + T387</f>
        <v>-28007871.53231556</v>
      </c>
    </row>
    <row r="387" spans="1:20" x14ac:dyDescent="0.25">
      <c r="D387" s="1" t="s">
        <v>129</v>
      </c>
      <c r="E387" s="45"/>
      <c r="F387" s="1"/>
      <c r="G387" s="1"/>
      <c r="H387" s="1"/>
      <c r="I387" s="1"/>
      <c r="J387" s="1"/>
      <c r="K387" s="69">
        <f>-startup*(1-taxrate)</f>
        <v>-28007871.53231556</v>
      </c>
      <c r="M387" s="69">
        <f t="shared" ref="M387:R387" si="111">-startup*(1-taxrate)</f>
        <v>200629564126.18613</v>
      </c>
      <c r="N387" s="69">
        <f t="shared" si="111"/>
        <v>550339881312.68945</v>
      </c>
      <c r="O387" s="69">
        <f t="shared" si="111"/>
        <v>-17947173.136417415</v>
      </c>
      <c r="P387" s="69">
        <f t="shared" si="111"/>
        <v>-24755978.947736077</v>
      </c>
      <c r="Q387" s="69">
        <f t="shared" si="111"/>
        <v>-27773877.442660149</v>
      </c>
      <c r="R387" s="69">
        <f t="shared" si="111"/>
        <v>-2.1411237186712027E+22</v>
      </c>
      <c r="S387" s="69">
        <f>-startup*(1-taxrate)</f>
        <v>-28007871.53231556</v>
      </c>
      <c r="T387" s="69">
        <f>-startup*(1-taxrate)</f>
        <v>-28007871.53231556</v>
      </c>
    </row>
    <row r="388" spans="1:20" x14ac:dyDescent="0.25">
      <c r="D388" s="1" t="s">
        <v>130</v>
      </c>
      <c r="E388" s="45"/>
      <c r="F388" s="1"/>
      <c r="G388" s="1"/>
      <c r="H388" s="1"/>
      <c r="I388" s="1"/>
      <c r="J388" s="1"/>
      <c r="K388" s="69">
        <v>0</v>
      </c>
      <c r="M388" s="69">
        <v>0</v>
      </c>
      <c r="N388" s="69">
        <v>0</v>
      </c>
      <c r="O388" s="69">
        <v>0</v>
      </c>
      <c r="P388" s="69">
        <v>0</v>
      </c>
      <c r="Q388" s="69">
        <v>0</v>
      </c>
      <c r="R388" s="69">
        <v>0</v>
      </c>
      <c r="S388" s="69">
        <v>0</v>
      </c>
      <c r="T388" s="69">
        <v>0</v>
      </c>
    </row>
    <row r="389" spans="1:20" x14ac:dyDescent="0.25">
      <c r="D389" s="1" t="s">
        <v>131</v>
      </c>
      <c r="E389" s="45"/>
      <c r="F389" s="1"/>
      <c r="G389" s="1"/>
      <c r="H389" s="1"/>
      <c r="I389" s="1"/>
      <c r="J389" s="1"/>
      <c r="K389" s="69">
        <v>0</v>
      </c>
      <c r="M389" s="69">
        <v>0</v>
      </c>
      <c r="N389" s="69">
        <v>0</v>
      </c>
      <c r="O389" s="69">
        <v>0</v>
      </c>
      <c r="P389" s="69">
        <v>0</v>
      </c>
      <c r="Q389" s="69">
        <v>0</v>
      </c>
      <c r="R389" s="69">
        <v>0</v>
      </c>
      <c r="S389" s="69">
        <v>0</v>
      </c>
      <c r="T389" s="69">
        <v>0</v>
      </c>
    </row>
    <row r="390" spans="1:20" x14ac:dyDescent="0.25">
      <c r="D390" s="1" t="s">
        <v>133</v>
      </c>
      <c r="E390" s="45"/>
      <c r="F390" s="1"/>
      <c r="G390" s="1"/>
      <c r="H390" s="1"/>
      <c r="I390" s="1"/>
      <c r="J390" s="1"/>
      <c r="K390" s="69">
        <v>0</v>
      </c>
      <c r="M390" s="69">
        <v>0</v>
      </c>
      <c r="N390" s="69">
        <v>0</v>
      </c>
      <c r="O390" s="69">
        <v>0</v>
      </c>
      <c r="P390" s="69">
        <v>0</v>
      </c>
      <c r="Q390" s="69">
        <v>0</v>
      </c>
      <c r="R390" s="69">
        <v>0</v>
      </c>
      <c r="S390" s="69">
        <v>0</v>
      </c>
      <c r="T390" s="69">
        <v>0</v>
      </c>
    </row>
    <row r="391" spans="1:20" x14ac:dyDescent="0.25">
      <c r="D391" s="1" t="s">
        <v>134</v>
      </c>
      <c r="E391" s="45"/>
      <c r="F391" s="1"/>
      <c r="G391" s="1"/>
      <c r="H391" s="1"/>
      <c r="I391" s="1"/>
      <c r="J391" s="1"/>
      <c r="K391" s="69">
        <v>0</v>
      </c>
      <c r="M391" s="69">
        <v>0</v>
      </c>
      <c r="N391" s="69">
        <v>0</v>
      </c>
      <c r="O391" s="69">
        <v>0</v>
      </c>
      <c r="P391" s="69">
        <v>0</v>
      </c>
      <c r="Q391" s="69">
        <v>0</v>
      </c>
      <c r="R391" s="69">
        <v>0</v>
      </c>
      <c r="S391" s="69">
        <v>0</v>
      </c>
      <c r="T391" s="69">
        <v>0</v>
      </c>
    </row>
    <row r="392" spans="1:20" x14ac:dyDescent="0.25">
      <c r="D392" s="1" t="s">
        <v>135</v>
      </c>
      <c r="E392" s="45"/>
      <c r="F392" s="1"/>
      <c r="G392" s="1"/>
      <c r="H392" s="1"/>
      <c r="I392" s="1"/>
      <c r="J392" s="1"/>
      <c r="K392" s="69">
        <v>0</v>
      </c>
      <c r="M392" s="69">
        <v>0</v>
      </c>
      <c r="N392" s="69">
        <v>0</v>
      </c>
      <c r="O392" s="69">
        <v>0</v>
      </c>
      <c r="P392" s="69">
        <v>0</v>
      </c>
      <c r="Q392" s="69">
        <v>0</v>
      </c>
      <c r="R392" s="69">
        <v>0</v>
      </c>
      <c r="S392" s="69">
        <v>0</v>
      </c>
      <c r="T392" s="69">
        <v>0</v>
      </c>
    </row>
    <row r="393" spans="1:20" x14ac:dyDescent="0.25">
      <c r="D393" s="1" t="s">
        <v>136</v>
      </c>
      <c r="E393" s="45"/>
      <c r="F393" s="1"/>
      <c r="G393" s="1"/>
      <c r="H393" s="1"/>
      <c r="I393" s="1"/>
      <c r="J393" s="1"/>
      <c r="K393" s="69">
        <v>0</v>
      </c>
      <c r="M393" s="69">
        <v>0</v>
      </c>
      <c r="N393" s="69">
        <v>0</v>
      </c>
      <c r="O393" s="69">
        <v>0</v>
      </c>
      <c r="P393" s="69">
        <v>0</v>
      </c>
      <c r="Q393" s="69">
        <v>0</v>
      </c>
      <c r="R393" s="69">
        <v>0</v>
      </c>
      <c r="S393" s="69">
        <v>0</v>
      </c>
      <c r="T393" s="69">
        <v>0</v>
      </c>
    </row>
    <row r="394" spans="1:20" x14ac:dyDescent="0.25">
      <c r="D394" s="1" t="s">
        <v>137</v>
      </c>
      <c r="E394" s="45"/>
      <c r="F394" s="1"/>
      <c r="G394" s="1"/>
      <c r="H394" s="1"/>
      <c r="I394" s="1"/>
      <c r="J394" s="1"/>
      <c r="K394" s="69">
        <v>0</v>
      </c>
      <c r="M394" s="69">
        <v>0</v>
      </c>
      <c r="N394" s="69">
        <v>0</v>
      </c>
      <c r="O394" s="69">
        <v>0</v>
      </c>
      <c r="P394" s="69">
        <v>0</v>
      </c>
      <c r="Q394" s="69">
        <v>0</v>
      </c>
      <c r="R394" s="69">
        <v>0</v>
      </c>
      <c r="S394" s="69">
        <v>0</v>
      </c>
      <c r="T394" s="69">
        <v>0</v>
      </c>
    </row>
    <row r="395" spans="1:20" x14ac:dyDescent="0.25">
      <c r="D395" s="1" t="s">
        <v>139</v>
      </c>
      <c r="E395" s="45"/>
      <c r="F395" s="1"/>
      <c r="G395" s="1"/>
      <c r="H395" s="1"/>
      <c r="I395" s="1"/>
      <c r="J395" s="1"/>
      <c r="K395" s="69">
        <v>0</v>
      </c>
      <c r="M395" s="69">
        <v>0</v>
      </c>
      <c r="N395" s="69">
        <v>0</v>
      </c>
      <c r="O395" s="69">
        <v>0</v>
      </c>
      <c r="P395" s="69">
        <v>0</v>
      </c>
      <c r="Q395" s="69">
        <v>0</v>
      </c>
      <c r="R395" s="69">
        <v>0</v>
      </c>
      <c r="S395" s="69">
        <v>0</v>
      </c>
      <c r="T395" s="69">
        <v>0</v>
      </c>
    </row>
    <row r="396" spans="1:20" x14ac:dyDescent="0.25">
      <c r="D396" s="1" t="s">
        <v>140</v>
      </c>
      <c r="E396" s="45"/>
      <c r="F396" s="1"/>
      <c r="G396" s="1"/>
      <c r="H396" s="1"/>
      <c r="I396" s="1"/>
      <c r="J396" s="1"/>
      <c r="K396" s="69">
        <v>0</v>
      </c>
      <c r="M396" s="69">
        <v>0</v>
      </c>
      <c r="N396" s="69">
        <v>0</v>
      </c>
      <c r="O396" s="69">
        <v>0</v>
      </c>
      <c r="P396" s="69">
        <v>0</v>
      </c>
      <c r="Q396" s="69">
        <v>0</v>
      </c>
      <c r="R396" s="69">
        <v>0</v>
      </c>
      <c r="S396" s="69">
        <v>0</v>
      </c>
      <c r="T396" s="69">
        <v>0</v>
      </c>
    </row>
    <row r="397" spans="1:20" x14ac:dyDescent="0.25">
      <c r="D397" s="1" t="s">
        <v>141</v>
      </c>
      <c r="E397" s="45"/>
      <c r="F397" s="1"/>
      <c r="G397" s="1"/>
      <c r="H397" s="1"/>
      <c r="I397" s="1"/>
      <c r="J397" s="1"/>
      <c r="K397" s="69">
        <v>0</v>
      </c>
      <c r="M397" s="69">
        <v>0</v>
      </c>
      <c r="N397" s="69">
        <v>0</v>
      </c>
      <c r="O397" s="69">
        <v>0</v>
      </c>
      <c r="P397" s="69">
        <v>0</v>
      </c>
      <c r="Q397" s="69">
        <v>0</v>
      </c>
      <c r="R397" s="69">
        <v>0</v>
      </c>
      <c r="S397" s="69">
        <v>0</v>
      </c>
      <c r="T397" s="69">
        <v>0</v>
      </c>
    </row>
    <row r="399" spans="1:20" s="21" customFormat="1" x14ac:dyDescent="0.25">
      <c r="A399" s="21" t="s">
        <v>166</v>
      </c>
      <c r="C399" s="103" t="s">
        <v>167</v>
      </c>
      <c r="D399" s="104" t="s">
        <v>153</v>
      </c>
      <c r="E399" s="91"/>
      <c r="F399" s="104"/>
      <c r="G399" s="104"/>
      <c r="H399" s="104"/>
      <c r="I399" s="104"/>
      <c r="J399" s="104"/>
      <c r="K399" s="217">
        <f>cost_per_line*num_lines</f>
        <v>237710333.33333334</v>
      </c>
      <c r="M399" s="217">
        <f t="shared" ref="M399:R399" si="112">cost_per_line*num_lines</f>
        <v>237710333.33333334</v>
      </c>
      <c r="N399" s="217">
        <f t="shared" si="112"/>
        <v>237710333.33333334</v>
      </c>
      <c r="O399" s="217">
        <f t="shared" si="112"/>
        <v>237710333.33333334</v>
      </c>
      <c r="P399" s="217">
        <f t="shared" si="112"/>
        <v>237710333.33333334</v>
      </c>
      <c r="Q399" s="217">
        <f t="shared" si="112"/>
        <v>237710333.33333334</v>
      </c>
      <c r="R399" s="217">
        <f t="shared" si="112"/>
        <v>234377000</v>
      </c>
      <c r="S399" s="217">
        <f>cost_per_line*num_lines</f>
        <v>237710333.33333334</v>
      </c>
      <c r="T399" s="217">
        <f>cost_per_line*num_lines</f>
        <v>237710333.33333334</v>
      </c>
    </row>
    <row r="400" spans="1:20" x14ac:dyDescent="0.25">
      <c r="C400" s="6" t="s">
        <v>168</v>
      </c>
      <c r="D400" s="1" t="s">
        <v>169</v>
      </c>
      <c r="E400" s="45"/>
      <c r="F400" s="1"/>
      <c r="G400" s="1"/>
      <c r="H400" s="1"/>
      <c r="I400" s="1"/>
      <c r="J400" s="1"/>
      <c r="K400" s="217">
        <f>buildingCostPerYear+costPerLine</f>
        <v>1964548.2093663912</v>
      </c>
      <c r="M400" s="217">
        <f t="shared" ref="M400:R400" si="113">buildingCostPerYear+costPerLine</f>
        <v>1964548.2093663912</v>
      </c>
      <c r="N400" s="217">
        <f t="shared" si="113"/>
        <v>1964548.2093663912</v>
      </c>
      <c r="O400" s="217">
        <f t="shared" si="113"/>
        <v>1964548.2093663912</v>
      </c>
      <c r="P400" s="217">
        <f t="shared" si="113"/>
        <v>1964548.2093663912</v>
      </c>
      <c r="Q400" s="217">
        <f t="shared" si="113"/>
        <v>1964548.2093663912</v>
      </c>
      <c r="R400" s="217">
        <f t="shared" si="113"/>
        <v>1937000</v>
      </c>
      <c r="S400" s="217">
        <f>buildingCostPerYear+costPerLine</f>
        <v>1964548.2093663912</v>
      </c>
      <c r="T400" s="217">
        <f>buildingCostPerYear+costPerLine</f>
        <v>1964548.2093663912</v>
      </c>
    </row>
    <row r="401" spans="1:20" x14ac:dyDescent="0.25">
      <c r="C401" s="6" t="s">
        <v>170</v>
      </c>
      <c r="D401" s="1" t="s">
        <v>171</v>
      </c>
      <c r="E401" s="45"/>
      <c r="F401" s="1"/>
      <c r="G401" s="1"/>
      <c r="H401" s="1"/>
      <c r="I401" s="1"/>
      <c r="J401" s="1"/>
      <c r="K401" s="73">
        <v>121</v>
      </c>
      <c r="M401" s="73">
        <v>121</v>
      </c>
      <c r="N401" s="73">
        <v>121</v>
      </c>
      <c r="O401" s="73">
        <v>121</v>
      </c>
      <c r="P401" s="73">
        <v>121</v>
      </c>
      <c r="Q401" s="73">
        <v>121</v>
      </c>
      <c r="R401" s="73">
        <v>121</v>
      </c>
      <c r="S401" s="73">
        <v>121</v>
      </c>
      <c r="T401" s="73">
        <v>121</v>
      </c>
    </row>
    <row r="402" spans="1:20" x14ac:dyDescent="0.25">
      <c r="C402" s="6" t="s">
        <v>172</v>
      </c>
      <c r="D402" s="1" t="s">
        <v>173</v>
      </c>
      <c r="E402" s="45"/>
      <c r="F402" s="1"/>
      <c r="G402" s="1"/>
      <c r="H402" s="1"/>
      <c r="I402" s="1"/>
      <c r="J402" s="1"/>
      <c r="K402" s="107">
        <v>7</v>
      </c>
      <c r="M402" s="107">
        <v>7</v>
      </c>
      <c r="N402" s="107">
        <v>7</v>
      </c>
      <c r="O402" s="107">
        <v>7</v>
      </c>
      <c r="P402" s="107">
        <v>7</v>
      </c>
      <c r="Q402" s="107">
        <v>7</v>
      </c>
      <c r="R402" s="107">
        <v>7</v>
      </c>
      <c r="S402" s="107">
        <v>7</v>
      </c>
      <c r="T402" s="107">
        <v>7</v>
      </c>
    </row>
    <row r="403" spans="1:20" x14ac:dyDescent="0.25">
      <c r="A403" s="5" t="s">
        <v>174</v>
      </c>
      <c r="C403" s="9"/>
    </row>
    <row r="404" spans="1:20" x14ac:dyDescent="0.25">
      <c r="C404" s="9"/>
      <c r="D404" s="2" t="s">
        <v>128</v>
      </c>
      <c r="E404" s="45"/>
      <c r="F404" s="1"/>
      <c r="G404" s="1"/>
      <c r="H404" s="1"/>
      <c r="I404" s="1"/>
      <c r="J404" s="1"/>
      <c r="K404" s="105">
        <f>NPV(discrate,K406:K415) + K405</f>
        <v>-202992129.53453156</v>
      </c>
      <c r="M404" s="105">
        <f t="shared" ref="M404:R404" si="114">NPV(discrate,M406:M415) + M405</f>
        <v>-202992129.53453156</v>
      </c>
      <c r="N404" s="105">
        <f t="shared" si="114"/>
        <v>-202992129.53453156</v>
      </c>
      <c r="O404" s="105">
        <f t="shared" si="114"/>
        <v>-202992129.53453156</v>
      </c>
      <c r="P404" s="105">
        <f t="shared" si="114"/>
        <v>-202992129.53453156</v>
      </c>
      <c r="Q404" s="105">
        <f t="shared" si="114"/>
        <v>-202992129.53453156</v>
      </c>
      <c r="R404" s="105">
        <f t="shared" si="114"/>
        <v>-200145638.08296752</v>
      </c>
      <c r="S404" s="105">
        <f>NPV(discrate,S406:S415) + S405</f>
        <v>-165281796.20119822</v>
      </c>
      <c r="T404" s="105">
        <f>NPV(discrate,T406:T415) + T405</f>
        <v>-202992129.53453156</v>
      </c>
    </row>
    <row r="405" spans="1:20" x14ac:dyDescent="0.25">
      <c r="C405" s="9" t="s">
        <v>175</v>
      </c>
      <c r="D405" s="1" t="s">
        <v>129</v>
      </c>
      <c r="E405" s="45"/>
      <c r="F405" s="1"/>
      <c r="G405" s="1"/>
      <c r="H405" s="1"/>
      <c r="I405" s="1"/>
      <c r="J405" s="1"/>
      <c r="K405" s="108">
        <f>-equipment_cost</f>
        <v>-237710333.33333334</v>
      </c>
      <c r="M405" s="108">
        <f t="shared" ref="M405:R405" si="115">-equipment_cost</f>
        <v>-237710333.33333334</v>
      </c>
      <c r="N405" s="108">
        <f t="shared" si="115"/>
        <v>-237710333.33333334</v>
      </c>
      <c r="O405" s="108">
        <f t="shared" si="115"/>
        <v>-237710333.33333334</v>
      </c>
      <c r="P405" s="108">
        <f t="shared" si="115"/>
        <v>-237710333.33333334</v>
      </c>
      <c r="Q405" s="108">
        <f t="shared" si="115"/>
        <v>-237710333.33333334</v>
      </c>
      <c r="R405" s="108">
        <f t="shared" si="115"/>
        <v>-234377000</v>
      </c>
      <c r="S405" s="108">
        <v>-200000000</v>
      </c>
      <c r="T405" s="108">
        <f>-equipment_cost</f>
        <v>-237710333.33333334</v>
      </c>
    </row>
    <row r="406" spans="1:20" x14ac:dyDescent="0.25">
      <c r="D406" s="1">
        <v>1</v>
      </c>
      <c r="E406" s="45"/>
      <c r="F406" s="1"/>
      <c r="G406" s="1"/>
      <c r="H406" s="1"/>
      <c r="I406" s="1"/>
      <c r="J406" s="1"/>
      <c r="K406" s="108">
        <f t="shared" ref="K406:T415" si="116">IF(_xlfn.SINGLE(taxLife)&gt;=_xlfn.SINGLE(numYear), _xlfn.SINGLE(taxrate)*_xlfn.SINGLE(equipment_cost)/_xlfn.SINGLE(taxLife), 0)</f>
        <v>7131310</v>
      </c>
      <c r="M406" s="108">
        <f t="shared" si="116"/>
        <v>7131310</v>
      </c>
      <c r="N406" s="108">
        <f t="shared" si="116"/>
        <v>7131310</v>
      </c>
      <c r="O406" s="108">
        <f t="shared" si="116"/>
        <v>7131310</v>
      </c>
      <c r="P406" s="108">
        <f t="shared" si="116"/>
        <v>7131310</v>
      </c>
      <c r="Q406" s="108">
        <f t="shared" si="116"/>
        <v>7131310</v>
      </c>
      <c r="R406" s="108">
        <f t="shared" si="116"/>
        <v>7031310</v>
      </c>
      <c r="S406" s="108">
        <f t="shared" si="116"/>
        <v>7131310</v>
      </c>
      <c r="T406" s="108">
        <f t="shared" si="116"/>
        <v>7131310</v>
      </c>
    </row>
    <row r="407" spans="1:20" x14ac:dyDescent="0.25">
      <c r="D407" s="1">
        <v>2</v>
      </c>
      <c r="E407" s="45"/>
      <c r="F407" s="1"/>
      <c r="G407" s="1"/>
      <c r="H407" s="1"/>
      <c r="I407" s="1"/>
      <c r="J407" s="1"/>
      <c r="K407" s="108">
        <f t="shared" si="116"/>
        <v>7131310</v>
      </c>
      <c r="M407" s="108">
        <f t="shared" si="116"/>
        <v>7131310</v>
      </c>
      <c r="N407" s="108">
        <f t="shared" si="116"/>
        <v>7131310</v>
      </c>
      <c r="O407" s="108">
        <f t="shared" si="116"/>
        <v>7131310</v>
      </c>
      <c r="P407" s="108">
        <f t="shared" si="116"/>
        <v>7131310</v>
      </c>
      <c r="Q407" s="108">
        <f t="shared" si="116"/>
        <v>7131310</v>
      </c>
      <c r="R407" s="108">
        <f t="shared" si="116"/>
        <v>7031310</v>
      </c>
      <c r="S407" s="108">
        <f t="shared" si="116"/>
        <v>7131310</v>
      </c>
      <c r="T407" s="108">
        <f t="shared" si="116"/>
        <v>7131310</v>
      </c>
    </row>
    <row r="408" spans="1:20" x14ac:dyDescent="0.25">
      <c r="D408" s="1">
        <v>3</v>
      </c>
      <c r="E408" s="45"/>
      <c r="F408" s="1"/>
      <c r="G408" s="1"/>
      <c r="H408" s="1"/>
      <c r="I408" s="1"/>
      <c r="J408" s="1"/>
      <c r="K408" s="108">
        <f t="shared" si="116"/>
        <v>7131310</v>
      </c>
      <c r="M408" s="108">
        <f t="shared" si="116"/>
        <v>7131310</v>
      </c>
      <c r="N408" s="108">
        <f t="shared" si="116"/>
        <v>7131310</v>
      </c>
      <c r="O408" s="108">
        <f t="shared" si="116"/>
        <v>7131310</v>
      </c>
      <c r="P408" s="108">
        <f t="shared" si="116"/>
        <v>7131310</v>
      </c>
      <c r="Q408" s="108">
        <f t="shared" si="116"/>
        <v>7131310</v>
      </c>
      <c r="R408" s="108">
        <f t="shared" si="116"/>
        <v>7031310</v>
      </c>
      <c r="S408" s="108">
        <f t="shared" si="116"/>
        <v>7131310</v>
      </c>
      <c r="T408" s="108">
        <f t="shared" si="116"/>
        <v>7131310</v>
      </c>
    </row>
    <row r="409" spans="1:20" x14ac:dyDescent="0.25">
      <c r="D409" s="1">
        <v>4</v>
      </c>
      <c r="E409" s="45"/>
      <c r="F409" s="1"/>
      <c r="G409" s="1"/>
      <c r="H409" s="1"/>
      <c r="I409" s="1"/>
      <c r="J409" s="1"/>
      <c r="K409" s="108">
        <f t="shared" si="116"/>
        <v>7131310</v>
      </c>
      <c r="M409" s="108">
        <f t="shared" si="116"/>
        <v>7131310</v>
      </c>
      <c r="N409" s="108">
        <f t="shared" si="116"/>
        <v>7131310</v>
      </c>
      <c r="O409" s="108">
        <f t="shared" si="116"/>
        <v>7131310</v>
      </c>
      <c r="P409" s="108">
        <f t="shared" si="116"/>
        <v>7131310</v>
      </c>
      <c r="Q409" s="108">
        <f t="shared" si="116"/>
        <v>7131310</v>
      </c>
      <c r="R409" s="108">
        <f t="shared" si="116"/>
        <v>7031310</v>
      </c>
      <c r="S409" s="108">
        <f t="shared" si="116"/>
        <v>7131310</v>
      </c>
      <c r="T409" s="108">
        <f t="shared" si="116"/>
        <v>7131310</v>
      </c>
    </row>
    <row r="410" spans="1:20" x14ac:dyDescent="0.25">
      <c r="D410" s="1">
        <v>5</v>
      </c>
      <c r="E410" s="45"/>
      <c r="F410" s="1"/>
      <c r="G410" s="1"/>
      <c r="H410" s="1"/>
      <c r="I410" s="1"/>
      <c r="J410" s="1"/>
      <c r="K410" s="108">
        <f t="shared" si="116"/>
        <v>7131310</v>
      </c>
      <c r="M410" s="108">
        <f t="shared" si="116"/>
        <v>7131310</v>
      </c>
      <c r="N410" s="108">
        <f t="shared" si="116"/>
        <v>7131310</v>
      </c>
      <c r="O410" s="108">
        <f t="shared" si="116"/>
        <v>7131310</v>
      </c>
      <c r="P410" s="108">
        <f t="shared" si="116"/>
        <v>7131310</v>
      </c>
      <c r="Q410" s="108">
        <f t="shared" si="116"/>
        <v>7131310</v>
      </c>
      <c r="R410" s="108">
        <f t="shared" si="116"/>
        <v>7031310</v>
      </c>
      <c r="S410" s="108">
        <f t="shared" si="116"/>
        <v>7131310</v>
      </c>
      <c r="T410" s="108">
        <f t="shared" si="116"/>
        <v>7131310</v>
      </c>
    </row>
    <row r="411" spans="1:20" x14ac:dyDescent="0.25">
      <c r="D411" s="1">
        <v>6</v>
      </c>
      <c r="E411" s="45"/>
      <c r="F411" s="1"/>
      <c r="G411" s="1"/>
      <c r="H411" s="1"/>
      <c r="I411" s="1"/>
      <c r="J411" s="1"/>
      <c r="K411" s="108">
        <f t="shared" si="116"/>
        <v>7131310</v>
      </c>
      <c r="M411" s="108">
        <f t="shared" si="116"/>
        <v>7131310</v>
      </c>
      <c r="N411" s="108">
        <f t="shared" si="116"/>
        <v>7131310</v>
      </c>
      <c r="O411" s="108">
        <f t="shared" si="116"/>
        <v>7131310</v>
      </c>
      <c r="P411" s="108">
        <f t="shared" si="116"/>
        <v>7131310</v>
      </c>
      <c r="Q411" s="108">
        <f t="shared" si="116"/>
        <v>7131310</v>
      </c>
      <c r="R411" s="108">
        <f t="shared" si="116"/>
        <v>7031310</v>
      </c>
      <c r="S411" s="108">
        <f t="shared" si="116"/>
        <v>7131310</v>
      </c>
      <c r="T411" s="108">
        <f t="shared" si="116"/>
        <v>7131310</v>
      </c>
    </row>
    <row r="412" spans="1:20" x14ac:dyDescent="0.25">
      <c r="D412" s="1">
        <v>7</v>
      </c>
      <c r="E412" s="45"/>
      <c r="F412" s="1"/>
      <c r="G412" s="1"/>
      <c r="H412" s="1"/>
      <c r="I412" s="1"/>
      <c r="J412" s="1"/>
      <c r="K412" s="108">
        <f t="shared" si="116"/>
        <v>7131310</v>
      </c>
      <c r="M412" s="108">
        <f t="shared" si="116"/>
        <v>7131310</v>
      </c>
      <c r="N412" s="108">
        <f t="shared" si="116"/>
        <v>7131310</v>
      </c>
      <c r="O412" s="108">
        <f t="shared" si="116"/>
        <v>7131310</v>
      </c>
      <c r="P412" s="108">
        <f t="shared" si="116"/>
        <v>7131310</v>
      </c>
      <c r="Q412" s="108">
        <f t="shared" si="116"/>
        <v>7131310</v>
      </c>
      <c r="R412" s="108">
        <f t="shared" si="116"/>
        <v>7031310</v>
      </c>
      <c r="S412" s="108">
        <f t="shared" si="116"/>
        <v>7131310</v>
      </c>
      <c r="T412" s="108">
        <f t="shared" si="116"/>
        <v>7131310</v>
      </c>
    </row>
    <row r="413" spans="1:20" x14ac:dyDescent="0.25">
      <c r="D413" s="1">
        <v>8</v>
      </c>
      <c r="E413" s="45"/>
      <c r="F413" s="1"/>
      <c r="G413" s="1"/>
      <c r="H413" s="1"/>
      <c r="I413" s="1"/>
      <c r="J413" s="1"/>
      <c r="K413" s="108">
        <f t="shared" si="116"/>
        <v>0</v>
      </c>
      <c r="M413" s="108">
        <f t="shared" si="116"/>
        <v>0</v>
      </c>
      <c r="N413" s="108">
        <f t="shared" si="116"/>
        <v>0</v>
      </c>
      <c r="O413" s="108">
        <f t="shared" si="116"/>
        <v>0</v>
      </c>
      <c r="P413" s="108">
        <f t="shared" si="116"/>
        <v>0</v>
      </c>
      <c r="Q413" s="108">
        <f t="shared" si="116"/>
        <v>0</v>
      </c>
      <c r="R413" s="108">
        <f t="shared" si="116"/>
        <v>0</v>
      </c>
      <c r="S413" s="108">
        <f t="shared" si="116"/>
        <v>0</v>
      </c>
      <c r="T413" s="108">
        <f t="shared" si="116"/>
        <v>0</v>
      </c>
    </row>
    <row r="414" spans="1:20" x14ac:dyDescent="0.25">
      <c r="D414" s="1">
        <v>9</v>
      </c>
      <c r="E414" s="45"/>
      <c r="F414" s="1"/>
      <c r="G414" s="1"/>
      <c r="H414" s="1"/>
      <c r="I414" s="1"/>
      <c r="J414" s="1"/>
      <c r="K414" s="108">
        <f t="shared" si="116"/>
        <v>0</v>
      </c>
      <c r="M414" s="108">
        <f t="shared" si="116"/>
        <v>0</v>
      </c>
      <c r="N414" s="108">
        <f t="shared" si="116"/>
        <v>0</v>
      </c>
      <c r="O414" s="108">
        <f t="shared" si="116"/>
        <v>0</v>
      </c>
      <c r="P414" s="108">
        <f t="shared" si="116"/>
        <v>0</v>
      </c>
      <c r="Q414" s="108">
        <f t="shared" si="116"/>
        <v>0</v>
      </c>
      <c r="R414" s="108">
        <f t="shared" si="116"/>
        <v>0</v>
      </c>
      <c r="S414" s="108">
        <f t="shared" si="116"/>
        <v>0</v>
      </c>
      <c r="T414" s="108">
        <f t="shared" si="116"/>
        <v>0</v>
      </c>
    </row>
    <row r="415" spans="1:20" x14ac:dyDescent="0.25">
      <c r="D415" s="1">
        <v>10</v>
      </c>
      <c r="E415" s="45"/>
      <c r="F415" s="1"/>
      <c r="G415" s="1"/>
      <c r="H415" s="1"/>
      <c r="I415" s="1"/>
      <c r="J415" s="1"/>
      <c r="K415" s="108">
        <f t="shared" si="116"/>
        <v>0</v>
      </c>
      <c r="M415" s="108">
        <f t="shared" si="116"/>
        <v>0</v>
      </c>
      <c r="N415" s="108">
        <f t="shared" si="116"/>
        <v>0</v>
      </c>
      <c r="O415" s="108">
        <f t="shared" si="116"/>
        <v>0</v>
      </c>
      <c r="P415" s="108">
        <f t="shared" si="116"/>
        <v>0</v>
      </c>
      <c r="Q415" s="108">
        <f t="shared" si="116"/>
        <v>0</v>
      </c>
      <c r="R415" s="108">
        <f t="shared" si="116"/>
        <v>0</v>
      </c>
      <c r="S415" s="108">
        <f t="shared" si="116"/>
        <v>0</v>
      </c>
      <c r="T415" s="108">
        <f t="shared" si="116"/>
        <v>0</v>
      </c>
    </row>
    <row r="416" spans="1:20" x14ac:dyDescent="0.25">
      <c r="K416" s="251"/>
      <c r="M416" s="251"/>
      <c r="N416" s="251"/>
      <c r="O416" s="251"/>
      <c r="P416" s="251"/>
      <c r="Q416" s="251"/>
      <c r="R416" s="251"/>
      <c r="S416" s="251"/>
      <c r="T416" s="251"/>
    </row>
    <row r="417" spans="1:20" x14ac:dyDescent="0.25">
      <c r="K417" s="251"/>
      <c r="M417" s="251"/>
      <c r="N417" s="251"/>
      <c r="O417" s="251"/>
      <c r="P417" s="251"/>
      <c r="Q417" s="251"/>
      <c r="R417" s="251"/>
      <c r="S417" s="251"/>
      <c r="T417" s="251"/>
    </row>
    <row r="418" spans="1:20" s="49" customFormat="1" x14ac:dyDescent="0.25">
      <c r="A418" s="49" t="s">
        <v>176</v>
      </c>
      <c r="C418" s="109" t="s">
        <v>177</v>
      </c>
      <c r="D418" s="110" t="s">
        <v>178</v>
      </c>
      <c r="E418" s="111"/>
      <c r="F418" s="110"/>
      <c r="G418" s="110"/>
      <c r="H418" s="110"/>
      <c r="I418" s="110"/>
      <c r="J418" s="110"/>
      <c r="K418" s="73">
        <v>3</v>
      </c>
      <c r="M418" s="73">
        <v>3</v>
      </c>
      <c r="N418" s="73">
        <v>3</v>
      </c>
      <c r="O418" s="73">
        <v>3</v>
      </c>
      <c r="P418" s="73">
        <v>3</v>
      </c>
      <c r="Q418" s="73">
        <v>3</v>
      </c>
      <c r="R418" s="73">
        <v>3</v>
      </c>
      <c r="S418" s="73">
        <v>3</v>
      </c>
      <c r="T418" s="73">
        <v>3</v>
      </c>
    </row>
    <row r="420" spans="1:20" x14ac:dyDescent="0.25">
      <c r="D420" s="2" t="s">
        <v>128</v>
      </c>
      <c r="E420" s="45"/>
      <c r="F420" s="1"/>
      <c r="G420" s="1"/>
      <c r="H420" s="1"/>
      <c r="I420" s="1"/>
      <c r="J420" s="1"/>
      <c r="K420" s="105">
        <f>NPV(discrate,K422:K431) + K421</f>
        <v>84450059.389646187</v>
      </c>
      <c r="M420" s="105">
        <f t="shared" ref="M420:R420" si="117">NPV(discrate,M422:M431) + M421</f>
        <v>53578587.528253019</v>
      </c>
      <c r="N420" s="105">
        <f t="shared" si="117"/>
        <v>84450059.389031723</v>
      </c>
      <c r="O420" s="105">
        <f t="shared" si="117"/>
        <v>84450059.389646098</v>
      </c>
      <c r="P420" s="105">
        <f t="shared" si="117"/>
        <v>84450059.389646128</v>
      </c>
      <c r="Q420" s="105">
        <f t="shared" si="117"/>
        <v>84450059.389646187</v>
      </c>
      <c r="R420" s="105">
        <f t="shared" si="117"/>
        <v>67207096.898143157</v>
      </c>
      <c r="S420" s="105">
        <f>NPV(discrate,S422:S431) + S421</f>
        <v>71052914.028120652</v>
      </c>
      <c r="T420" s="105">
        <f>NPV(discrate,T422:T431) + T421</f>
        <v>84450059.389646187</v>
      </c>
    </row>
    <row r="421" spans="1:20" x14ac:dyDescent="0.25">
      <c r="D421" s="1" t="s">
        <v>129</v>
      </c>
      <c r="E421" s="45"/>
      <c r="F421" s="1"/>
      <c r="G421" s="1"/>
      <c r="H421" s="1"/>
      <c r="I421" s="1"/>
      <c r="J421" s="1"/>
      <c r="K421" s="108">
        <v>0</v>
      </c>
      <c r="M421" s="108">
        <v>0</v>
      </c>
      <c r="N421" s="108">
        <v>0</v>
      </c>
      <c r="O421" s="108">
        <v>0</v>
      </c>
      <c r="P421" s="108">
        <v>0</v>
      </c>
      <c r="Q421" s="108">
        <v>0</v>
      </c>
      <c r="R421" s="108">
        <v>0</v>
      </c>
      <c r="S421" s="108">
        <v>0</v>
      </c>
      <c r="T421" s="108">
        <v>0</v>
      </c>
    </row>
    <row r="422" spans="1:20" x14ac:dyDescent="0.25">
      <c r="D422" s="1">
        <v>1</v>
      </c>
      <c r="E422" s="45"/>
      <c r="F422" s="1"/>
      <c r="G422" s="1"/>
      <c r="H422" s="1"/>
      <c r="I422" s="1"/>
      <c r="J422" s="1"/>
      <c r="K422" s="108">
        <f t="shared" ref="K422:K431" si="118">IF(RevLife&gt;=numYear, (1-taxrate)*(dollPerYEARprofit)-equipInvest/taxLife, 0)</f>
        <v>33958619.04761906</v>
      </c>
      <c r="M422" s="108">
        <f>IF(RevLife&lt;=numYear, (1-taxrate)*(dollPerYEARprofit)-equipInvest/taxLife, 0)</f>
        <v>0</v>
      </c>
      <c r="N422" s="108">
        <f t="shared" ref="N422:T431" si="119">IF(RevLife&gt;=numYear, (1-taxrate)*(dollPerYEARprofit)-equipInvest/taxLife, 0)</f>
        <v>33958619.047371976</v>
      </c>
      <c r="O422" s="108">
        <f t="shared" si="119"/>
        <v>33958619.047619022</v>
      </c>
      <c r="P422" s="108">
        <f t="shared" si="119"/>
        <v>33958619.047619037</v>
      </c>
      <c r="Q422" s="108">
        <f t="shared" si="119"/>
        <v>33958619.04761906</v>
      </c>
      <c r="R422" s="108">
        <f t="shared" si="119"/>
        <v>27024968.571428571</v>
      </c>
      <c r="S422" s="108">
        <f t="shared" si="119"/>
        <v>28571428.571428578</v>
      </c>
      <c r="T422" s="108">
        <f t="shared" si="119"/>
        <v>33958619.04761906</v>
      </c>
    </row>
    <row r="423" spans="1:20" x14ac:dyDescent="0.25">
      <c r="D423" s="1">
        <v>2</v>
      </c>
      <c r="E423" s="45"/>
      <c r="F423" s="1"/>
      <c r="G423" s="1"/>
      <c r="H423" s="1"/>
      <c r="I423" s="1"/>
      <c r="J423" s="1"/>
      <c r="K423" s="108">
        <f t="shared" si="118"/>
        <v>33958619.04761906</v>
      </c>
      <c r="M423" s="108">
        <f>IF(RevLife&gt;=numYear, (1-taxrate)*(dollPerYEARprofit)-equipInvest/taxLife, 0)</f>
        <v>33958619.047668941</v>
      </c>
      <c r="N423" s="108">
        <f t="shared" si="119"/>
        <v>33958619.047371976</v>
      </c>
      <c r="O423" s="108">
        <f t="shared" si="119"/>
        <v>33958619.047619022</v>
      </c>
      <c r="P423" s="108">
        <f t="shared" si="119"/>
        <v>33958619.047619037</v>
      </c>
      <c r="Q423" s="108">
        <f t="shared" si="119"/>
        <v>33958619.04761906</v>
      </c>
      <c r="R423" s="108">
        <f t="shared" si="119"/>
        <v>27024968.571428571</v>
      </c>
      <c r="S423" s="108">
        <f t="shared" si="119"/>
        <v>28571428.571428578</v>
      </c>
      <c r="T423" s="108">
        <f t="shared" si="119"/>
        <v>33958619.04761906</v>
      </c>
    </row>
    <row r="424" spans="1:20" x14ac:dyDescent="0.25">
      <c r="D424" s="1">
        <v>3</v>
      </c>
      <c r="E424" s="45"/>
      <c r="F424" s="1"/>
      <c r="G424" s="1"/>
      <c r="H424" s="1"/>
      <c r="I424" s="1"/>
      <c r="J424" s="1"/>
      <c r="K424" s="108">
        <f t="shared" si="118"/>
        <v>33958619.04761906</v>
      </c>
      <c r="M424" s="108">
        <f>IF(RevLife&gt;=numYear, (1-taxrate)*(dollPerYEARprofit)-equipInvest/taxLife, 0)</f>
        <v>33958619.047668941</v>
      </c>
      <c r="N424" s="108">
        <f t="shared" si="119"/>
        <v>33958619.047371976</v>
      </c>
      <c r="O424" s="108">
        <f t="shared" si="119"/>
        <v>33958619.047619022</v>
      </c>
      <c r="P424" s="108">
        <f t="shared" si="119"/>
        <v>33958619.047619037</v>
      </c>
      <c r="Q424" s="108">
        <f t="shared" si="119"/>
        <v>33958619.04761906</v>
      </c>
      <c r="R424" s="108">
        <f t="shared" si="119"/>
        <v>27024968.571428571</v>
      </c>
      <c r="S424" s="108">
        <f t="shared" si="119"/>
        <v>28571428.571428578</v>
      </c>
      <c r="T424" s="108">
        <f t="shared" si="119"/>
        <v>33958619.04761906</v>
      </c>
    </row>
    <row r="425" spans="1:20" x14ac:dyDescent="0.25">
      <c r="D425" s="1">
        <v>4</v>
      </c>
      <c r="E425" s="45"/>
      <c r="F425" s="1"/>
      <c r="G425" s="1"/>
      <c r="H425" s="1"/>
      <c r="I425" s="1"/>
      <c r="J425" s="1"/>
      <c r="K425" s="108">
        <f t="shared" si="118"/>
        <v>0</v>
      </c>
      <c r="M425" s="108">
        <f t="shared" ref="M425:M431" si="120">IF(RevLife&gt;=numYear, (1-taxrate)*(dollPerYEARprofit)-equipInvest/taxLife, 0)</f>
        <v>0</v>
      </c>
      <c r="N425" s="108">
        <f t="shared" si="119"/>
        <v>0</v>
      </c>
      <c r="O425" s="108">
        <f t="shared" si="119"/>
        <v>0</v>
      </c>
      <c r="P425" s="108">
        <f t="shared" si="119"/>
        <v>0</v>
      </c>
      <c r="Q425" s="108">
        <f t="shared" si="119"/>
        <v>0</v>
      </c>
      <c r="R425" s="108">
        <f t="shared" si="119"/>
        <v>0</v>
      </c>
      <c r="S425" s="108">
        <f t="shared" si="119"/>
        <v>0</v>
      </c>
      <c r="T425" s="108">
        <f t="shared" si="119"/>
        <v>0</v>
      </c>
    </row>
    <row r="426" spans="1:20" x14ac:dyDescent="0.25">
      <c r="D426" s="1">
        <v>5</v>
      </c>
      <c r="E426" s="45"/>
      <c r="F426" s="1"/>
      <c r="G426" s="1"/>
      <c r="H426" s="1"/>
      <c r="I426" s="1"/>
      <c r="J426" s="1"/>
      <c r="K426" s="108">
        <f t="shared" si="118"/>
        <v>0</v>
      </c>
      <c r="M426" s="108">
        <f t="shared" si="120"/>
        <v>0</v>
      </c>
      <c r="N426" s="108">
        <f t="shared" si="119"/>
        <v>0</v>
      </c>
      <c r="O426" s="108">
        <f t="shared" si="119"/>
        <v>0</v>
      </c>
      <c r="P426" s="108">
        <f t="shared" si="119"/>
        <v>0</v>
      </c>
      <c r="Q426" s="108">
        <f t="shared" si="119"/>
        <v>0</v>
      </c>
      <c r="R426" s="108">
        <f t="shared" si="119"/>
        <v>0</v>
      </c>
      <c r="S426" s="108">
        <f t="shared" si="119"/>
        <v>0</v>
      </c>
      <c r="T426" s="108">
        <f t="shared" si="119"/>
        <v>0</v>
      </c>
    </row>
    <row r="427" spans="1:20" x14ac:dyDescent="0.25">
      <c r="D427" s="1">
        <v>6</v>
      </c>
      <c r="E427" s="45"/>
      <c r="F427" s="1"/>
      <c r="G427" s="1"/>
      <c r="H427" s="1"/>
      <c r="I427" s="1"/>
      <c r="J427" s="1"/>
      <c r="K427" s="108">
        <f t="shared" si="118"/>
        <v>0</v>
      </c>
      <c r="M427" s="108">
        <f t="shared" si="120"/>
        <v>0</v>
      </c>
      <c r="N427" s="108">
        <f t="shared" si="119"/>
        <v>0</v>
      </c>
      <c r="O427" s="108">
        <f t="shared" si="119"/>
        <v>0</v>
      </c>
      <c r="P427" s="108">
        <f t="shared" si="119"/>
        <v>0</v>
      </c>
      <c r="Q427" s="108">
        <f t="shared" si="119"/>
        <v>0</v>
      </c>
      <c r="R427" s="108">
        <f t="shared" si="119"/>
        <v>0</v>
      </c>
      <c r="S427" s="108">
        <f t="shared" si="119"/>
        <v>0</v>
      </c>
      <c r="T427" s="108">
        <f t="shared" si="119"/>
        <v>0</v>
      </c>
    </row>
    <row r="428" spans="1:20" x14ac:dyDescent="0.25">
      <c r="D428" s="1">
        <v>7</v>
      </c>
      <c r="E428" s="45"/>
      <c r="F428" s="1"/>
      <c r="G428" s="1"/>
      <c r="H428" s="1"/>
      <c r="I428" s="1"/>
      <c r="J428" s="1"/>
      <c r="K428" s="108">
        <f t="shared" si="118"/>
        <v>0</v>
      </c>
      <c r="M428" s="108">
        <f t="shared" si="120"/>
        <v>0</v>
      </c>
      <c r="N428" s="108">
        <f t="shared" si="119"/>
        <v>0</v>
      </c>
      <c r="O428" s="108">
        <f t="shared" si="119"/>
        <v>0</v>
      </c>
      <c r="P428" s="108">
        <f t="shared" si="119"/>
        <v>0</v>
      </c>
      <c r="Q428" s="108">
        <f t="shared" si="119"/>
        <v>0</v>
      </c>
      <c r="R428" s="108">
        <f t="shared" si="119"/>
        <v>0</v>
      </c>
      <c r="S428" s="108">
        <f t="shared" si="119"/>
        <v>0</v>
      </c>
      <c r="T428" s="108">
        <f t="shared" si="119"/>
        <v>0</v>
      </c>
    </row>
    <row r="429" spans="1:20" x14ac:dyDescent="0.25">
      <c r="D429" s="1">
        <v>8</v>
      </c>
      <c r="E429" s="45"/>
      <c r="F429" s="1"/>
      <c r="G429" s="1"/>
      <c r="H429" s="1"/>
      <c r="I429" s="1"/>
      <c r="J429" s="1"/>
      <c r="K429" s="108">
        <f t="shared" si="118"/>
        <v>0</v>
      </c>
      <c r="M429" s="108">
        <f t="shared" si="120"/>
        <v>0</v>
      </c>
      <c r="N429" s="108">
        <f t="shared" si="119"/>
        <v>0</v>
      </c>
      <c r="O429" s="108">
        <f t="shared" si="119"/>
        <v>0</v>
      </c>
      <c r="P429" s="108">
        <f t="shared" si="119"/>
        <v>0</v>
      </c>
      <c r="Q429" s="108">
        <f t="shared" si="119"/>
        <v>0</v>
      </c>
      <c r="R429" s="108">
        <f t="shared" si="119"/>
        <v>0</v>
      </c>
      <c r="S429" s="108">
        <f t="shared" si="119"/>
        <v>0</v>
      </c>
      <c r="T429" s="108">
        <f t="shared" si="119"/>
        <v>0</v>
      </c>
    </row>
    <row r="430" spans="1:20" x14ac:dyDescent="0.25">
      <c r="D430" s="1">
        <v>9</v>
      </c>
      <c r="E430" s="45"/>
      <c r="F430" s="1"/>
      <c r="G430" s="1"/>
      <c r="H430" s="1"/>
      <c r="I430" s="1"/>
      <c r="J430" s="1"/>
      <c r="K430" s="108">
        <f t="shared" si="118"/>
        <v>0</v>
      </c>
      <c r="M430" s="108">
        <f t="shared" si="120"/>
        <v>0</v>
      </c>
      <c r="N430" s="108">
        <f t="shared" si="119"/>
        <v>0</v>
      </c>
      <c r="O430" s="108">
        <f t="shared" si="119"/>
        <v>0</v>
      </c>
      <c r="P430" s="108">
        <f t="shared" si="119"/>
        <v>0</v>
      </c>
      <c r="Q430" s="108">
        <f t="shared" si="119"/>
        <v>0</v>
      </c>
      <c r="R430" s="108">
        <f t="shared" si="119"/>
        <v>0</v>
      </c>
      <c r="S430" s="108">
        <f t="shared" si="119"/>
        <v>0</v>
      </c>
      <c r="T430" s="108">
        <f t="shared" si="119"/>
        <v>0</v>
      </c>
    </row>
    <row r="431" spans="1:20" x14ac:dyDescent="0.25">
      <c r="D431" s="1">
        <v>10</v>
      </c>
      <c r="E431" s="45"/>
      <c r="F431" s="1"/>
      <c r="G431" s="1"/>
      <c r="H431" s="1"/>
      <c r="I431" s="1"/>
      <c r="J431" s="1"/>
      <c r="K431" s="108">
        <f t="shared" si="118"/>
        <v>0</v>
      </c>
      <c r="M431" s="108">
        <f t="shared" si="120"/>
        <v>0</v>
      </c>
      <c r="N431" s="108">
        <f t="shared" si="119"/>
        <v>0</v>
      </c>
      <c r="O431" s="108">
        <f t="shared" si="119"/>
        <v>0</v>
      </c>
      <c r="P431" s="108">
        <f t="shared" si="119"/>
        <v>0</v>
      </c>
      <c r="Q431" s="108">
        <f t="shared" si="119"/>
        <v>0</v>
      </c>
      <c r="R431" s="108">
        <f t="shared" si="119"/>
        <v>0</v>
      </c>
      <c r="S431" s="108">
        <f t="shared" si="119"/>
        <v>0</v>
      </c>
      <c r="T431" s="108">
        <f t="shared" si="119"/>
        <v>0</v>
      </c>
    </row>
    <row r="433" spans="16:18" x14ac:dyDescent="0.25">
      <c r="P433" s="10" t="s">
        <v>628</v>
      </c>
      <c r="Q433" s="10" t="s">
        <v>636</v>
      </c>
      <c r="R433" s="10" t="s">
        <v>639</v>
      </c>
    </row>
    <row r="434" spans="16:18" x14ac:dyDescent="0.25">
      <c r="P434" s="10" t="s">
        <v>629</v>
      </c>
      <c r="Q434" s="10" t="s">
        <v>637</v>
      </c>
      <c r="R434" s="10" t="s">
        <v>640</v>
      </c>
    </row>
    <row r="435" spans="16:18" x14ac:dyDescent="0.25">
      <c r="P435" s="10" t="s">
        <v>630</v>
      </c>
      <c r="Q435" s="10" t="s">
        <v>638</v>
      </c>
      <c r="R435" s="10" t="s">
        <v>641</v>
      </c>
    </row>
    <row r="436" spans="16:18" x14ac:dyDescent="0.25">
      <c r="P436" s="10" t="s">
        <v>631</v>
      </c>
      <c r="R436" s="10" t="s">
        <v>642</v>
      </c>
    </row>
    <row r="437" spans="16:18" x14ac:dyDescent="0.25">
      <c r="P437" s="10" t="s">
        <v>632</v>
      </c>
    </row>
    <row r="438" spans="16:18" x14ac:dyDescent="0.25">
      <c r="P438" s="10" t="s">
        <v>633</v>
      </c>
    </row>
  </sheetData>
  <mergeCells count="153">
    <mergeCell ref="L219:N219"/>
    <mergeCell ref="A233:B233"/>
    <mergeCell ref="A263:B263"/>
    <mergeCell ref="A264:B264"/>
    <mergeCell ref="A265:B265"/>
    <mergeCell ref="A266:B266"/>
    <mergeCell ref="A257:B257"/>
    <mergeCell ref="A258:B258"/>
    <mergeCell ref="A259:B259"/>
    <mergeCell ref="A260:B260"/>
    <mergeCell ref="A241:B241"/>
    <mergeCell ref="A242:B242"/>
    <mergeCell ref="A243:B243"/>
    <mergeCell ref="A244:B244"/>
    <mergeCell ref="A245:B245"/>
    <mergeCell ref="A236:B236"/>
    <mergeCell ref="A237:B237"/>
    <mergeCell ref="A239:B239"/>
    <mergeCell ref="A240:B240"/>
    <mergeCell ref="A246:B246"/>
    <mergeCell ref="A252:B252"/>
    <mergeCell ref="A253:B253"/>
    <mergeCell ref="A254:B254"/>
    <mergeCell ref="A255:B255"/>
    <mergeCell ref="A173:B173"/>
    <mergeCell ref="A174:B174"/>
    <mergeCell ref="A175:B175"/>
    <mergeCell ref="A176:B176"/>
    <mergeCell ref="A178:B178"/>
    <mergeCell ref="A190:B190"/>
    <mergeCell ref="A183:B183"/>
    <mergeCell ref="A184:B184"/>
    <mergeCell ref="A185:B185"/>
    <mergeCell ref="A188:B188"/>
    <mergeCell ref="A189:B189"/>
    <mergeCell ref="A170:B170"/>
    <mergeCell ref="A171:B171"/>
    <mergeCell ref="A172:B172"/>
    <mergeCell ref="A165:B165"/>
    <mergeCell ref="A147:B147"/>
    <mergeCell ref="A149:B149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O144:P144"/>
    <mergeCell ref="A150:B150"/>
    <mergeCell ref="A148:B148"/>
    <mergeCell ref="A163:B163"/>
    <mergeCell ref="A130:B130"/>
    <mergeCell ref="A139:B139"/>
    <mergeCell ref="A140:B140"/>
    <mergeCell ref="A141:B141"/>
    <mergeCell ref="A144:B144"/>
    <mergeCell ref="A161:B161"/>
    <mergeCell ref="A160:B160"/>
    <mergeCell ref="A133:B133"/>
    <mergeCell ref="A135:B135"/>
    <mergeCell ref="A136:B136"/>
    <mergeCell ref="A137:B137"/>
    <mergeCell ref="A138:B138"/>
    <mergeCell ref="A123:B123"/>
    <mergeCell ref="A50:B50"/>
    <mergeCell ref="A52:B52"/>
    <mergeCell ref="A76:B76"/>
    <mergeCell ref="A78:B78"/>
    <mergeCell ref="A79:B79"/>
    <mergeCell ref="A93:B93"/>
    <mergeCell ref="A69:B69"/>
    <mergeCell ref="A58:B58"/>
    <mergeCell ref="A54:B54"/>
    <mergeCell ref="A70:B70"/>
    <mergeCell ref="A75:B75"/>
    <mergeCell ref="A82:B82"/>
    <mergeCell ref="A96:B96"/>
    <mergeCell ref="A94:B94"/>
    <mergeCell ref="A97:B97"/>
    <mergeCell ref="A104:B104"/>
    <mergeCell ref="A107:B107"/>
    <mergeCell ref="A108:B108"/>
    <mergeCell ref="A112:B112"/>
    <mergeCell ref="A122:B122"/>
    <mergeCell ref="A98:B98"/>
    <mergeCell ref="A103:B103"/>
    <mergeCell ref="A60:B60"/>
    <mergeCell ref="A61:B61"/>
    <mergeCell ref="A62:B62"/>
    <mergeCell ref="A63:B63"/>
    <mergeCell ref="A64:B64"/>
    <mergeCell ref="A65:B65"/>
    <mergeCell ref="A66:B66"/>
    <mergeCell ref="A67:B67"/>
    <mergeCell ref="A288:B288"/>
    <mergeCell ref="A283:B283"/>
    <mergeCell ref="A284:B284"/>
    <mergeCell ref="A285:B285"/>
    <mergeCell ref="A286:B286"/>
    <mergeCell ref="A287:B287"/>
    <mergeCell ref="A268:B268"/>
    <mergeCell ref="A279:B279"/>
    <mergeCell ref="A280:B280"/>
    <mergeCell ref="A281:B281"/>
    <mergeCell ref="A282:B282"/>
    <mergeCell ref="A274:B274"/>
    <mergeCell ref="A275:B275"/>
    <mergeCell ref="A276:B276"/>
    <mergeCell ref="A277:B277"/>
    <mergeCell ref="A269:B269"/>
    <mergeCell ref="A270:B270"/>
    <mergeCell ref="A271:B271"/>
    <mergeCell ref="A272:B272"/>
    <mergeCell ref="A273:B273"/>
    <mergeCell ref="A206:B206"/>
    <mergeCell ref="A207:B207"/>
    <mergeCell ref="A208:B208"/>
    <mergeCell ref="A209:B209"/>
    <mergeCell ref="A212:B212"/>
    <mergeCell ref="A201:B201"/>
    <mergeCell ref="A202:B202"/>
    <mergeCell ref="A203:B203"/>
    <mergeCell ref="A204:B204"/>
    <mergeCell ref="A205:B205"/>
    <mergeCell ref="A230:B230"/>
    <mergeCell ref="A231:B231"/>
    <mergeCell ref="A232:B232"/>
    <mergeCell ref="A234:B234"/>
    <mergeCell ref="A235:B235"/>
    <mergeCell ref="A213:B213"/>
    <mergeCell ref="A214:B214"/>
    <mergeCell ref="A227:B227"/>
    <mergeCell ref="A228:B228"/>
    <mergeCell ref="A229:B229"/>
    <mergeCell ref="A215:B215"/>
    <mergeCell ref="A256:B256"/>
    <mergeCell ref="A247:B247"/>
    <mergeCell ref="A249:B249"/>
    <mergeCell ref="A248:B248"/>
    <mergeCell ref="A250:B250"/>
    <mergeCell ref="A251:B251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</mergeCells>
  <phoneticPr fontId="22" type="noConversion"/>
  <hyperlinks>
    <hyperlink ref="L119" r:id="rId1" location=":~:text=Early%20in%20the%20Biden%20Administration,%2414%20or%20more%20than%20%24150." display="https://taxpolicycenter.org/briefing-book/what-carbon-tax - :~:text=Early%20in%20the%20Biden%20Administration,%2414%20or%20more%20than%20%24150." xr:uid="{872F3002-9C43-4D48-B248-56AEE6B8925F}"/>
    <hyperlink ref="L90" r:id="rId2" location=":~:text=Early%20in%20the%20Biden%20Administration,%2414%20or%20more%20than%20%24150." display="https://taxpolicycenter.org/briefing-book/what-carbon-tax - :~:text=Early%20in%20the%20Biden%20Administration,%2414%20or%20more%20than%20%24150." xr:uid="{5ECE9C82-5B03-4926-98D1-2470DC35ADA2}"/>
    <hyperlink ref="L89" r:id="rId3" display="https://www.eia.gov/tools/faqs/faq.php?id=74&amp;t=11" xr:uid="{9FF67820-0104-4792-AB72-F50A47D6C0D4}"/>
    <hyperlink ref="L118" r:id="rId4" display="https://www.eia.gov/tools/faqs/faq.php?id=74&amp;t=11" xr:uid="{A3E0CB1D-3F12-425D-9160-B750CAE956A7}"/>
    <hyperlink ref="L86" r:id="rId5" display="https://link.springer.com/article/10.1007/BF03339422" xr:uid="{D5DD21C5-B384-4FE9-AC7D-9E0B97376CC9}"/>
    <hyperlink ref="L116" r:id="rId6" location=":~:text=About%203%2C900%20KWh%20of%20electric,and%20cast%20it%20into%20ingots." display="https://www.agiboo.com/zinc/ - :~:text=About%203%2C900%20KWh%20of%20electric,and%20cast%20it%20into%20ingots." xr:uid="{40AD68AE-F621-4A6B-9186-870E5AC55C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259</vt:i4>
      </vt:variant>
    </vt:vector>
  </HeadingPairs>
  <TitlesOfParts>
    <vt:vector size="260" baseType="lpstr">
      <vt:lpstr>Feuil1</vt:lpstr>
      <vt:lpstr>amount_ship_matl1</vt:lpstr>
      <vt:lpstr>amount_ship_matl2</vt:lpstr>
      <vt:lpstr>annualCost</vt:lpstr>
      <vt:lpstr>area_need</vt:lpstr>
      <vt:lpstr>area_penny</vt:lpstr>
      <vt:lpstr>assumedSupplGM_matl1</vt:lpstr>
      <vt:lpstr>assumedSupplGM_matl2</vt:lpstr>
      <vt:lpstr>atManufacturingWarehouse</vt:lpstr>
      <vt:lpstr>benefits</vt:lpstr>
      <vt:lpstr>BTU_ton_matl1</vt:lpstr>
      <vt:lpstr>buildingCostPerYear</vt:lpstr>
      <vt:lpstr>carbon_tax_matl1</vt:lpstr>
      <vt:lpstr>carbon_tax_matl2</vt:lpstr>
      <vt:lpstr>carbon_tax_per_tonCO2_matl1</vt:lpstr>
      <vt:lpstr>carbon_tax_perTonCO2_matl2</vt:lpstr>
      <vt:lpstr>clearingFees</vt:lpstr>
      <vt:lpstr>cost_per_line</vt:lpstr>
      <vt:lpstr>cost_ship_matl1</vt:lpstr>
      <vt:lpstr>cost_ship_matl2</vt:lpstr>
      <vt:lpstr>costDutyIsOn</vt:lpstr>
      <vt:lpstr>costForAllLines</vt:lpstr>
      <vt:lpstr>costOfRepair</vt:lpstr>
      <vt:lpstr>costOfTruck</vt:lpstr>
      <vt:lpstr>costPerLine</vt:lpstr>
      <vt:lpstr>costPerMile</vt:lpstr>
      <vt:lpstr>costPerPerson</vt:lpstr>
      <vt:lpstr>costPerTire</vt:lpstr>
      <vt:lpstr>cred_matl1</vt:lpstr>
      <vt:lpstr>cred_matl2</vt:lpstr>
      <vt:lpstr>crews</vt:lpstr>
      <vt:lpstr>cust_matl1</vt:lpstr>
      <vt:lpstr>cust_matl2</vt:lpstr>
      <vt:lpstr>custom_duties</vt:lpstr>
      <vt:lpstr>customs_duties_matl1</vt:lpstr>
      <vt:lpstr>customs_duties_matl2</vt:lpstr>
      <vt:lpstr>days_ship_matl1</vt:lpstr>
      <vt:lpstr>days_ship_matl2</vt:lpstr>
      <vt:lpstr>daysIncrementalScrap</vt:lpstr>
      <vt:lpstr>daysNeeded</vt:lpstr>
      <vt:lpstr>daysOfCoverage</vt:lpstr>
      <vt:lpstr>daysOfProductionWarehouse</vt:lpstr>
      <vt:lpstr>depreciationLife</vt:lpstr>
      <vt:lpstr>dev_cost</vt:lpstr>
      <vt:lpstr>development</vt:lpstr>
      <vt:lpstr>diameter</vt:lpstr>
      <vt:lpstr>discrate</vt:lpstr>
      <vt:lpstr>dollPerkWhr</vt:lpstr>
      <vt:lpstr>dollPerPENNYgmargin</vt:lpstr>
      <vt:lpstr>dollPerPENNYmrktg</vt:lpstr>
      <vt:lpstr>dollPerPENNYocgs</vt:lpstr>
      <vt:lpstr>dollPerPENNYoverhead</vt:lpstr>
      <vt:lpstr>dollPerPENNYprofit</vt:lpstr>
      <vt:lpstr>dollPerPENNYtotal</vt:lpstr>
      <vt:lpstr>dollPerPENNYtotalcogs</vt:lpstr>
      <vt:lpstr>dollPerYEARmanu</vt:lpstr>
      <vt:lpstr>dollPerYEARmrktg</vt:lpstr>
      <vt:lpstr>dollPerYEARogcs</vt:lpstr>
      <vt:lpstr>dollPerYEARoverhead</vt:lpstr>
      <vt:lpstr>dollPerYEARprofit</vt:lpstr>
      <vt:lpstr>dollPerYEARtotal</vt:lpstr>
      <vt:lpstr>dollPerYEARtotalcogs</vt:lpstr>
      <vt:lpstr>dutiesPerCustoms</vt:lpstr>
      <vt:lpstr>energy</vt:lpstr>
      <vt:lpstr>engineering</vt:lpstr>
      <vt:lpstr>equipCostPerYear</vt:lpstr>
      <vt:lpstr>equipInvest</vt:lpstr>
      <vt:lpstr>equipment_cost</vt:lpstr>
      <vt:lpstr>equipTransportation</vt:lpstr>
      <vt:lpstr>extra_parts</vt:lpstr>
      <vt:lpstr>finance_accounting</vt:lpstr>
      <vt:lpstr>fixed_ship_matl1</vt:lpstr>
      <vt:lpstr>fixed_ship_matl2</vt:lpstr>
      <vt:lpstr>fixedCostsTransportation</vt:lpstr>
      <vt:lpstr>fixedmfg</vt:lpstr>
      <vt:lpstr>frequencyOfRepairs</vt:lpstr>
      <vt:lpstr>fuel</vt:lpstr>
      <vt:lpstr>gmTransportation</vt:lpstr>
      <vt:lpstr>holidays</vt:lpstr>
      <vt:lpstr>hourlyRate</vt:lpstr>
      <vt:lpstr>hoursPerDay</vt:lpstr>
      <vt:lpstr>hr_cost</vt:lpstr>
      <vt:lpstr>init_inv</vt:lpstr>
      <vt:lpstr>initCostOfLine</vt:lpstr>
      <vt:lpstr>installation</vt:lpstr>
      <vt:lpstr>insuranceCostPerDay</vt:lpstr>
      <vt:lpstr>kg_ship_matl1</vt:lpstr>
      <vt:lpstr>kg_ship_matl2</vt:lpstr>
      <vt:lpstr>km_ship_matl1</vt:lpstr>
      <vt:lpstr>km_ship_matl2</vt:lpstr>
      <vt:lpstr>kWh_penny_matl1</vt:lpstr>
      <vt:lpstr>kWh_penny_matl2</vt:lpstr>
      <vt:lpstr>kWh_ton_matl1</vt:lpstr>
      <vt:lpstr>kWh_ton_matl2</vt:lpstr>
      <vt:lpstr>kWHr_kg</vt:lpstr>
      <vt:lpstr>lastMile</vt:lpstr>
      <vt:lpstr>lifeOfBuilding</vt:lpstr>
      <vt:lpstr>lifeOfEquipment</vt:lpstr>
      <vt:lpstr>loading_materials</vt:lpstr>
      <vt:lpstr>loading_truck</vt:lpstr>
      <vt:lpstr>LocalDCwarehouse</vt:lpstr>
      <vt:lpstr>log_matl1</vt:lpstr>
      <vt:lpstr>log_matl2</vt:lpstr>
      <vt:lpstr>logisitcs_matl1</vt:lpstr>
      <vt:lpstr>logistics</vt:lpstr>
      <vt:lpstr>logistics_matl2</vt:lpstr>
      <vt:lpstr>m_and_r</vt:lpstr>
      <vt:lpstr>manufacturing</vt:lpstr>
      <vt:lpstr>mass_CO2_pkWh_matl1</vt:lpstr>
      <vt:lpstr>mass_CO2_pkWh_matl2</vt:lpstr>
      <vt:lpstr>mass_matl1_in1penny</vt:lpstr>
      <vt:lpstr>mass_matl2_in1penny</vt:lpstr>
      <vt:lpstr>materials</vt:lpstr>
      <vt:lpstr>maxCube</vt:lpstr>
      <vt:lpstr>maxWeight</vt:lpstr>
      <vt:lpstr>mfgToPort</vt:lpstr>
      <vt:lpstr>mfgWarehouse</vt:lpstr>
      <vt:lpstr>mileagePerTire</vt:lpstr>
      <vt:lpstr>milesPerGallon</vt:lpstr>
      <vt:lpstr>mmMaxStack</vt:lpstr>
      <vt:lpstr>MOQ_losses_matl1</vt:lpstr>
      <vt:lpstr>MOQ_losses_matl2</vt:lpstr>
      <vt:lpstr>nbMaxStack</vt:lpstr>
      <vt:lpstr>nbOfDaysTransportation</vt:lpstr>
      <vt:lpstr>nbOfKgs</vt:lpstr>
      <vt:lpstr>nbOfKWHrs</vt:lpstr>
      <vt:lpstr>nbOfMiles</vt:lpstr>
      <vt:lpstr>nbOfProducts</vt:lpstr>
      <vt:lpstr>nbOfProductsCube</vt:lpstr>
      <vt:lpstr>nbOfProductsWeight</vt:lpstr>
      <vt:lpstr>nbOfRepairsPerYear</vt:lpstr>
      <vt:lpstr>nbOfStacksWarehouse</vt:lpstr>
      <vt:lpstr>nbYearsWarehouse</vt:lpstr>
      <vt:lpstr>num_lines</vt:lpstr>
      <vt:lpstr>num_year</vt:lpstr>
      <vt:lpstr>numACCESS</vt:lpstr>
      <vt:lpstr>numAFFORD</vt:lpstr>
      <vt:lpstr>numALL</vt:lpstr>
      <vt:lpstr>numAWARE</vt:lpstr>
      <vt:lpstr>numberOfTires</vt:lpstr>
      <vt:lpstr>numCoins</vt:lpstr>
      <vt:lpstr>numLINES</vt:lpstr>
      <vt:lpstr>numNEED</vt:lpstr>
      <vt:lpstr>numPerCrew</vt:lpstr>
      <vt:lpstr>numPerLINE</vt:lpstr>
      <vt:lpstr>numREPEAT</vt:lpstr>
      <vt:lpstr>numTests</vt:lpstr>
      <vt:lpstr>numTRY</vt:lpstr>
      <vt:lpstr>numYear</vt:lpstr>
      <vt:lpstr>offline</vt:lpstr>
      <vt:lpstr>ohPerLinePerYear</vt:lpstr>
      <vt:lpstr>ohPerYear</vt:lpstr>
      <vt:lpstr>online</vt:lpstr>
      <vt:lpstr>option_name</vt:lpstr>
      <vt:lpstr>other_matl1</vt:lpstr>
      <vt:lpstr>other_matl2</vt:lpstr>
      <vt:lpstr>otherFees</vt:lpstr>
      <vt:lpstr>otherMaintenancePerMile</vt:lpstr>
      <vt:lpstr>p_add_process</vt:lpstr>
      <vt:lpstr>p_paid_usmint</vt:lpstr>
      <vt:lpstr>p_Recycle_Credits</vt:lpstr>
      <vt:lpstr>p_scrap_matl1</vt:lpstr>
      <vt:lpstr>p_scrap_matl2</vt:lpstr>
      <vt:lpstr>pACCESS</vt:lpstr>
      <vt:lpstr>packaging_consumer</vt:lpstr>
      <vt:lpstr>packaging_distribution</vt:lpstr>
      <vt:lpstr>pAFFORD</vt:lpstr>
      <vt:lpstr>pAWARE</vt:lpstr>
      <vt:lpstr>pckgHeight</vt:lpstr>
      <vt:lpstr>pckgLength</vt:lpstr>
      <vt:lpstr>pckgMass</vt:lpstr>
      <vt:lpstr>pckgPerCase</vt:lpstr>
      <vt:lpstr>pckgWeight</vt:lpstr>
      <vt:lpstr>pckgWidth</vt:lpstr>
      <vt:lpstr>percentageFill</vt:lpstr>
      <vt:lpstr>percentDuty</vt:lpstr>
      <vt:lpstr>percentTotalWeight1</vt:lpstr>
      <vt:lpstr>percentTotalWeight2</vt:lpstr>
      <vt:lpstr>plannedDowntime</vt:lpstr>
      <vt:lpstr>plant_manager</vt:lpstr>
      <vt:lpstr>pNEED</vt:lpstr>
      <vt:lpstr>portToPort</vt:lpstr>
      <vt:lpstr>portToRegDC</vt:lpstr>
      <vt:lpstr>pREPEAT</vt:lpstr>
      <vt:lpstr>preRiskCost</vt:lpstr>
      <vt:lpstr>price.mm2Warehouse</vt:lpstr>
      <vt:lpstr>pricePerGallon</vt:lpstr>
      <vt:lpstr>pricePerKgMatl1</vt:lpstr>
      <vt:lpstr>pricePerKgMatl2</vt:lpstr>
      <vt:lpstr>pricePerPennyInventory</vt:lpstr>
      <vt:lpstr>pricePerPennyScrap</vt:lpstr>
      <vt:lpstr>pricePerTESTS</vt:lpstr>
      <vt:lpstr>proc_matl1</vt:lpstr>
      <vt:lpstr>proc_matl2</vt:lpstr>
      <vt:lpstr>prodDiameter</vt:lpstr>
      <vt:lpstr>prodPerPckg</vt:lpstr>
      <vt:lpstr>prodThickness</vt:lpstr>
      <vt:lpstr>pTRY</vt:lpstr>
      <vt:lpstr>purchasing</vt:lpstr>
      <vt:lpstr>qa</vt:lpstr>
      <vt:lpstr>qa_cost</vt:lpstr>
      <vt:lpstr>qtyOfProdsWarehouse</vt:lpstr>
      <vt:lpstr>qtyOnShipment</vt:lpstr>
      <vt:lpstr>rate</vt:lpstr>
      <vt:lpstr>rate1</vt:lpstr>
      <vt:lpstr>rate2</vt:lpstr>
      <vt:lpstr>receiving_materials</vt:lpstr>
      <vt:lpstr>regDCtoLocDC</vt:lpstr>
      <vt:lpstr>RegionalDCwarehouse</vt:lpstr>
      <vt:lpstr>rel_matl1</vt:lpstr>
      <vt:lpstr>rel_matl2</vt:lpstr>
      <vt:lpstr>reliability</vt:lpstr>
      <vt:lpstr>RevLife</vt:lpstr>
      <vt:lpstr>risk</vt:lpstr>
      <vt:lpstr>riskPercent</vt:lpstr>
      <vt:lpstr>safety</vt:lpstr>
      <vt:lpstr>sales_vat_matl1</vt:lpstr>
      <vt:lpstr>sales_vat_matl2</vt:lpstr>
      <vt:lpstr>scrap</vt:lpstr>
      <vt:lpstr>shipping</vt:lpstr>
      <vt:lpstr>spaceWarehouse</vt:lpstr>
      <vt:lpstr>speed_ship_matl1</vt:lpstr>
      <vt:lpstr>speed_ship_matl2</vt:lpstr>
      <vt:lpstr>staffing</vt:lpstr>
      <vt:lpstr>staffingTransportation</vt:lpstr>
      <vt:lpstr>startup</vt:lpstr>
      <vt:lpstr>storage_racks</vt:lpstr>
      <vt:lpstr>supplies</vt:lpstr>
      <vt:lpstr>supPrice_matl1</vt:lpstr>
      <vt:lpstr>supPrice_matl2</vt:lpstr>
      <vt:lpstr>taxLife</vt:lpstr>
      <vt:lpstr>taxrate</vt:lpstr>
      <vt:lpstr>thruputWhenScheduled</vt:lpstr>
      <vt:lpstr>tires</vt:lpstr>
      <vt:lpstr>total_matl1</vt:lpstr>
      <vt:lpstr>total_matl2</vt:lpstr>
      <vt:lpstr>total_wt_matl1_w_scrap</vt:lpstr>
      <vt:lpstr>total_wt_matl2_w_scrap</vt:lpstr>
      <vt:lpstr>totalCostOfTrip</vt:lpstr>
      <vt:lpstr>totalDeprPerLineYear</vt:lpstr>
      <vt:lpstr>totalIncrementScrap</vt:lpstr>
      <vt:lpstr>totalTHRUPUT</vt:lpstr>
      <vt:lpstr>totalVOL</vt:lpstr>
      <vt:lpstr>totalWeight</vt:lpstr>
      <vt:lpstr>transportation</vt:lpstr>
      <vt:lpstr>trim_a</vt:lpstr>
      <vt:lpstr>trim_b</vt:lpstr>
      <vt:lpstr>trim_c</vt:lpstr>
      <vt:lpstr>unplannedDowntime</vt:lpstr>
      <vt:lpstr>unstaffedDays</vt:lpstr>
      <vt:lpstr>unusedDays</vt:lpstr>
      <vt:lpstr>value_add</vt:lpstr>
      <vt:lpstr>variable_ship_matl1</vt:lpstr>
      <vt:lpstr>variable_ship_matl2</vt:lpstr>
      <vt:lpstr>variableCostsTransportation</vt:lpstr>
      <vt:lpstr>variablemfg</vt:lpstr>
      <vt:lpstr>volREPEAT</vt:lpstr>
      <vt:lpstr>volume</vt:lpstr>
      <vt:lpstr>wages</vt:lpstr>
      <vt:lpstr>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Lamler</dc:creator>
  <cp:lastModifiedBy>Sacha Lamler</cp:lastModifiedBy>
  <dcterms:created xsi:type="dcterms:W3CDTF">2024-10-16T04:57:42Z</dcterms:created>
  <dcterms:modified xsi:type="dcterms:W3CDTF">2025-11-19T23:03:57Z</dcterms:modified>
</cp:coreProperties>
</file>